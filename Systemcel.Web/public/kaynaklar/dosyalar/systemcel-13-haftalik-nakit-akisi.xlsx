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9fc79563e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f3dfb3b74a8143f1"/>
    <x:sheet xmlns:r="http://schemas.openxmlformats.org/officeDocument/2006/relationships" name="13 Haftalık Plan" sheetId="2" r:id="R68d53f898bf541b8"/>
    <x:sheet xmlns:r="http://schemas.openxmlformats.org/officeDocument/2006/relationships" name="Plan Kalemleri" sheetId="3" r:id="Re540cb0f776942be"/>
    <x:sheet xmlns:r="http://schemas.openxmlformats.org/officeDocument/2006/relationships" name="Kullanım" sheetId="4" r:id="R3f2561a8cb5a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₺#,##0.00;[Red]-₺#,##0.00"/>
    <x:numFmt numFmtId="202" formatCode="@"/>
    <x:numFmt numFmtId="203" formatCode="₺#,##0.00"/>
    <x:numFmt numFmtId="204" formatCode="0"/>
  </x:numFmts>
  <x:fonts count="12">
    <x:font>
      <x:sz val="11"/>
      <x:name val="Carlito"/>
    </x:font>
    <x:font>
      <x:b/>
      <x:sz val="18"/>
      <x:color rgb="FFCBFF35"/>
      <x:name val="Carlito"/>
    </x:font>
    <x:font>
      <x:i/>
      <x:sz val="11"/>
      <x:color rgb="FF617082"/>
      <x:name val="Carlito"/>
    </x:font>
    <x:font>
      <x:b/>
      <x:sz val="11"/>
      <x:color rgb="FF10140D"/>
      <x:name val="Carlito"/>
    </x:font>
    <x:font>
      <x:b/>
      <x:sz val="20"/>
      <x:color rgb="FFCBFF35"/>
      <x:name val="Carlito"/>
    </x:font>
    <x:font>
      <x:sz val="11"/>
      <x:color rgb="FF10140D"/>
      <x:name val="Carlito"/>
    </x:font>
    <x:font>
      <x:b/>
      <x:sz val="11"/>
      <x:name val="Carlito"/>
    </x:font>
    <x:font>
      <x:b/>
      <x:sz val="24"/>
      <x:color rgb="FF10140D"/>
      <x:name val="Carlito"/>
    </x:font>
    <x:font>
      <x:b/>
      <x:sz val="11"/>
      <x:color rgb="FFFFFFFF"/>
      <x:name val="Carlito"/>
    </x:font>
    <x:font>
      <x:b/>
      <x:sz val="17"/>
      <x:color rgb="FF1769AA"/>
      <x:name val="Carlito"/>
    </x:font>
    <x:font>
      <x:b/>
      <x:sz val="22"/>
      <x:color rgb="FFCBFF35"/>
      <x:name val="Carlito"/>
    </x:font>
    <x:font>
      <x:b/>
      <x:sz val="11"/>
      <x:color rgb="FF61708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40D"/>
      </x:patternFill>
    </x:fill>
    <x:fill>
      <x:patternFill patternType="solid">
        <x:fgColor rgb="FFCBFF35"/>
      </x:patternFill>
    </x:fill>
    <x:fill>
      <x:patternFill patternType="solid">
        <x:fgColor rgb="FFFFF6CC"/>
      </x:patternFill>
    </x:fill>
    <x:fill>
      <x:patternFill patternType="solid">
        <x:fgColor rgb="FFEEF6FF"/>
      </x:patternFill>
    </x:fill>
    <x:fill>
      <x:patternFill patternType="solid">
        <x:fgColor rgb="FFF5FFD8"/>
      </x:patternFill>
    </x:fill>
  </x:fills>
  <x:borders count="4">
    <x:border/>
    <x:border>
      <x:left style="thin">
        <x:color rgb="FFA9C82C"/>
      </x:left>
      <x:right style="thin">
        <x:color rgb="FFA9C82C"/>
      </x:right>
      <x:top style="thin">
        <x:color rgb="FFA9C82C"/>
      </x:top>
      <x:bottom style="thin">
        <x:color rgb="FFA9C82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7BF55"/>
      </x:left>
      <x:right style="thin">
        <x:color rgb="FFD7BF55"/>
      </x:right>
      <x:top style="thin">
        <x:color rgb="FFD7BF55"/>
      </x:top>
      <x:bottom style="thin">
        <x:color rgb="FFD7BF55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vertical="center"/>
    </x:xf>
    <x:xf numFmtId="201" fontId="0" fillId="4" borderId="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201" fontId="3" fillId="4" borderId="3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1" fontId="0" fillId="5" borderId="2" xfId="0" applyNumberFormat="1" applyFont="1" applyFill="1" applyBorder="1"/>
    <x:xf numFmtId="201" fontId="0" fillId="6" borderId="2" xfId="0" applyNumberFormat="1" applyFont="1" applyFill="1" applyBorder="1"/>
    <x:xf numFmtId="201" fontId="6" fillId="6" borderId="2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202" fontId="9" fillId="5" borderId="0" xfId="0" applyNumberFormat="1" applyFont="1" applyFill="1" applyBorder="1" applyAlignment="1">
      <x:alignment horizontal="center" vertical="center"/>
    </x:xf>
    <x:xf numFmtId="203" fontId="9" fillId="5" borderId="0" xfId="0" applyNumberFormat="1" applyFont="1" applyFill="1" applyBorder="1" applyAlignment="1">
      <x:alignment horizontal="center" vertical="center"/>
    </x:xf>
    <x:xf numFmtId="204" fontId="9" fillId="5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8" fillId="2" borderId="2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FF0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4d6fc1e0a47b6" /><Relationship Type="http://schemas.openxmlformats.org/officeDocument/2006/relationships/theme" Target="/xl/theme/theme1.xml" Id="Rb7dd33ec18484e56" /><Relationship Type="http://schemas.openxmlformats.org/officeDocument/2006/relationships/sharedStrings" Target="/xl/sharedStrings.xml" Id="R7ab7307398fb45ee" /><Relationship Type="http://schemas.openxmlformats.org/officeDocument/2006/relationships/worksheet" Target="/xl/worksheets/sheet1.xml" Id="Rf3dfb3b74a8143f1" /><Relationship Type="http://schemas.openxmlformats.org/officeDocument/2006/relationships/worksheet" Target="/xl/worksheets/sheet2.xml" Id="R68d53f898bf541b8" /><Relationship Type="http://schemas.openxmlformats.org/officeDocument/2006/relationships/worksheet" Target="/xl/worksheets/sheet3.xml" Id="Re540cb0f776942be" /><Relationship Type="http://schemas.openxmlformats.org/officeDocument/2006/relationships/worksheet" Target="/xl/worksheets/sheet4.xml" Id="R3f2561a8cb5a4d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7a061a409f4d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Haftalık kapanış bakiyesi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Kapanış bakiyesi</c:v>
          </c:tx>
          <c:marker>
            <c:symbol val="none"/>
          </c:marker>
          <c:cat>
            <c:strRef>
              <c:f>'Özet'!$A$11:$A$23</c:f>
              <c:strCache>
                <c:ptCount val="0"/>
              </c:strCache>
            </c:strRef>
          </c:cat>
          <c:val>
            <c:numRef>
              <c:f>'Özet'!$B$11:$B$23</c:f>
              <c:numCache>
                <c:formatCode>₺#,##0.00;[Red]-₺#,##0.00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₺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7a061a409f4d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17c7f0a04a48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8" t="str">
        <x:v>13 haftada paran nereye gidiyor?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</x:row>
    <x:row r="3" ht="26" customHeight="1">
      <x:c r="A3" s="4" t="str">
        <x:v>Plan Kalemleri sayfasına giriş yapın; haftalık görünüm ve risk işaretleri otomatik hesaplansın.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>
      <x:c r="A5" s="40" t="str">
        <x:v>Başlangıç</x:v>
      </x:c>
      <x:c r="B5" s="40"/>
      <x:c r="D5" s="40" t="str">
        <x:v>Açılış bakiyesi</x:v>
      </x:c>
      <x:c r="E5" s="40"/>
      <x:c r="G5" s="40" t="str">
        <x:v>En düşük kapanış</x:v>
      </x:c>
      <x:c r="H5" s="40"/>
      <x:c r="I5" s="40" t="str">
        <x:v>Negatif hafta</x:v>
      </x:c>
      <x:c r="J5" s="40"/>
    </x:row>
    <x:row r="6">
      <x:c r="A6" s="44" t="str">
        <x:f>IF('13 Haftalık Plan'!$B$2&lt;10,"0","")&amp;'13 Haftalık Plan'!$B$2&amp;"."&amp;IF('13 Haftalık Plan'!$D$2&lt;10,"0","")&amp;'13 Haftalık Plan'!$D$2&amp;"."&amp;'13 Haftalık Plan'!$F$2</x:f>
        <x:v>31.08.2026</x:v>
      </x:c>
      <x:c r="B6" s="44"/>
      <x:c r="D6" s="45" t="n">
        <x:f>'13 Haftalık Plan'!$B$3</x:f>
        <x:v>0</x:v>
      </x:c>
      <x:c r="E6" s="45"/>
      <x:c r="G6" s="45" t="n">
        <x:f>MIN('13 Haftalık Plan'!$J$7:$J$19)</x:f>
        <x:v>0</x:v>
      </x:c>
      <x:c r="H6" s="45"/>
      <x:c r="I6" s="46" t="n">
        <x:f>COUNTIF('13 Haftalık Plan'!$J$7:$J$19,"&lt;0")</x:f>
        <x:v>0</x:v>
      </x:c>
      <x:c r="J6" s="46"/>
    </x:row>
    <x:row r="7">
      <x:c r="A7" s="44"/>
      <x:c r="B7" s="44"/>
      <x:c r="D7" s="45"/>
      <x:c r="E7" s="45"/>
      <x:c r="G7" s="45"/>
      <x:c r="H7" s="45"/>
      <x:c r="I7" s="46"/>
      <x:c r="J7" s="46"/>
    </x:row>
    <x:row r="10">
      <x:c r="A10" s="48" t="str">
        <x:v>Hafta</x:v>
      </x:c>
      <x:c r="B10" s="48" t="str">
        <x:v>Kapanış bakiyesi</x:v>
      </x:c>
    </x:row>
    <x:row r="11">
      <x:c r="A11" s="32" t="n">
        <x:f>'13 Haftalık Plan'!A7</x:f>
        <x:v>1</x:v>
      </x:c>
      <x:c r="B11" s="33" t="n">
        <x:f>'13 Haftalık Plan'!J7</x:f>
        <x:v>0</x:v>
      </x:c>
    </x:row>
    <x:row r="12">
      <x:c r="A12" s="32" t="n">
        <x:f>'13 Haftalık Plan'!A8</x:f>
        <x:v>2</x:v>
      </x:c>
      <x:c r="B12" s="33" t="n">
        <x:f>'13 Haftalık Plan'!J8</x:f>
        <x:v>0</x:v>
      </x:c>
    </x:row>
    <x:row r="13">
      <x:c r="A13" s="32" t="n">
        <x:f>'13 Haftalık Plan'!A9</x:f>
        <x:v>3</x:v>
      </x:c>
      <x:c r="B13" s="33" t="n">
        <x:f>'13 Haftalık Plan'!J9</x:f>
        <x:v>0</x:v>
      </x:c>
    </x:row>
    <x:row r="14">
      <x:c r="A14" s="32" t="n">
        <x:f>'13 Haftalık Plan'!A10</x:f>
        <x:v>4</x:v>
      </x:c>
      <x:c r="B14" s="33" t="n">
        <x:f>'13 Haftalık Plan'!J10</x:f>
        <x:v>0</x:v>
      </x:c>
    </x:row>
    <x:row r="15">
      <x:c r="A15" s="32" t="n">
        <x:f>'13 Haftalık Plan'!A11</x:f>
        <x:v>5</x:v>
      </x:c>
      <x:c r="B15" s="33" t="n">
        <x:f>'13 Haftalık Plan'!J11</x:f>
        <x:v>0</x:v>
      </x:c>
    </x:row>
    <x:row r="16">
      <x:c r="A16" s="32" t="n">
        <x:f>'13 Haftalık Plan'!A12</x:f>
        <x:v>6</x:v>
      </x:c>
      <x:c r="B16" s="33" t="n">
        <x:f>'13 Haftalık Plan'!J12</x:f>
        <x:v>0</x:v>
      </x:c>
    </x:row>
    <x:row r="17">
      <x:c r="A17" s="32" t="n">
        <x:f>'13 Haftalık Plan'!A13</x:f>
        <x:v>7</x:v>
      </x:c>
      <x:c r="B17" s="33" t="n">
        <x:f>'13 Haftalık Plan'!J13</x:f>
        <x:v>0</x:v>
      </x:c>
    </x:row>
    <x:row r="18">
      <x:c r="A18" s="32" t="n">
        <x:f>'13 Haftalık Plan'!A14</x:f>
        <x:v>8</x:v>
      </x:c>
      <x:c r="B18" s="33" t="n">
        <x:f>'13 Haftalık Plan'!J14</x:f>
        <x:v>0</x:v>
      </x:c>
    </x:row>
    <x:row r="19">
      <x:c r="A19" s="32" t="n">
        <x:f>'13 Haftalık Plan'!A15</x:f>
        <x:v>9</x:v>
      </x:c>
      <x:c r="B19" s="33" t="n">
        <x:f>'13 Haftalık Plan'!J15</x:f>
        <x:v>0</x:v>
      </x:c>
    </x:row>
    <x:row r="20">
      <x:c r="A20" s="32" t="n">
        <x:f>'13 Haftalık Plan'!A16</x:f>
        <x:v>10</x:v>
      </x:c>
      <x:c r="B20" s="33" t="n">
        <x:f>'13 Haftalık Plan'!J16</x:f>
        <x:v>0</x:v>
      </x:c>
    </x:row>
    <x:row r="21">
      <x:c r="A21" s="32" t="n">
        <x:f>'13 Haftalık Plan'!A17</x:f>
        <x:v>11</x:v>
      </x:c>
      <x:c r="B21" s="33" t="n">
        <x:f>'13 Haftalık Plan'!J17</x:f>
        <x:v>0</x:v>
      </x:c>
    </x:row>
    <x:row r="22">
      <x:c r="A22" s="32" t="n">
        <x:f>'13 Haftalık Plan'!A18</x:f>
        <x:v>12</x:v>
      </x:c>
      <x:c r="B22" s="33" t="n">
        <x:f>'13 Haftalık Plan'!J18</x:f>
        <x:v>0</x:v>
      </x:c>
    </x:row>
    <x:row r="23">
      <x:c r="A23" s="32" t="n">
        <x:f>'13 Haftalık Plan'!A19</x:f>
        <x:v>13</x:v>
      </x:c>
      <x:c r="B23" s="33" t="n">
        <x:f>'13 Haftalık Plan'!J19</x:f>
        <x:v>0</x:v>
      </x:c>
    </x:row>
    <x:row r="25">
      <x:c r="A25" s="29" t="str">
        <x:v>Kırmızı kapanış bakiyesi bir alarmdır: tarihi, tutarı veya planı güncelleyin. Şablon karar desteğidir; muhasebe veya yatırım danışmanlığı değildir.</x:v>
      </x:c>
      <x:c r="B25" s="29"/>
      <x:c r="C25" s="29"/>
      <x:c r="D25" s="29"/>
      <x:c r="E25" s="29"/>
      <x:c r="F25" s="29"/>
      <x:c r="G25" s="29"/>
      <x:c r="H25" s="29"/>
      <x:c r="I25" s="29"/>
      <x:c r="J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  <x:mergeCell ref="A25:J27"/>
  </x:mergeCells>
  <x:pageMargins left="0.7" right="0.7" top="0.75" bottom="0.75" header="0.3" footer="0.3"/>
  <x:drawing xmlns:r="http://schemas.openxmlformats.org/officeDocument/2006/relationships" r:id="Re017c7f0a04a48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6" hidden="0" customWidth="1"/>
  </x:cols>
  <x:sheetData>
    <x:row r="1" ht="36" customHeight="1">
      <x:c r="A1" s="18" t="str">
        <x:v>13 haftalık nakit akışı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>
      <x:c r="A2" s="19" t="str">
        <x:v>Gün</x:v>
      </x:c>
      <x:c r="B2" s="22" t="n">
        <x:v>31</x:v>
      </x:c>
      <x:c r="C2" s="20" t="str">
        <x:v>Ay</x:v>
      </x:c>
      <x:c r="D2" s="24" t="n">
        <x:v>8</x:v>
      </x:c>
      <x:c r="E2" s="20" t="str">
        <x:v>Yıl</x:v>
      </x:c>
      <x:c r="F2" s="22" t="n">
        <x:v>2026</x:v>
      </x:c>
      <x:c r="H2" s="29" t="str">
        <x:v>1) Başlangıç gün/ay/yılını ve açılış bakiyesini yazın. 2) Plan Kalemleri sayfasını doldurun. 3) Bu sayfa kendiliğinden hesaplanır.</x:v>
      </x:c>
      <x:c r="I2" s="29"/>
      <x:c r="J2" s="29"/>
      <x:c r="K2" s="29"/>
    </x:row>
    <x:row r="3">
      <x:c r="A3" s="19" t="str">
        <x:v>Açılış kasa / banka</x:v>
      </x:c>
      <x:c r="B3" s="25" t="n">
        <x:v>0</x:v>
      </x:c>
      <x:c r="H3" s="29"/>
      <x:c r="I3" s="29"/>
      <x:c r="J3" s="29"/>
      <x:c r="K3" s="29"/>
    </x:row>
    <x:row r="6" ht="38" customHeight="1">
      <x:c r="A6" s="31" t="str">
        <x:v>Hafta</x:v>
      </x:c>
      <x:c r="B6" s="31" t="str">
        <x:v>Başlangıç</x:v>
      </x:c>
      <x:c r="C6" s="31" t="str">
        <x:v>Bitiş</x:v>
      </x:c>
      <x:c r="D6" s="31" t="str">
        <x:v>Açılış</x:v>
      </x:c>
      <x:c r="E6" s="31" t="str">
        <x:v>Beklenen tahsilat</x:v>
      </x:c>
      <x:c r="F6" s="31" t="str">
        <x:v>Planlanan gelir</x:v>
      </x:c>
      <x:c r="G6" s="31" t="str">
        <x:v>Beklenen ödeme</x:v>
      </x:c>
      <x:c r="H6" s="31" t="str">
        <x:v>Planlanan gider</x:v>
      </x:c>
      <x:c r="I6" s="31" t="str">
        <x:v>Net akış</x:v>
      </x:c>
      <x:c r="J6" s="31" t="str">
        <x:v>Kapanış</x:v>
      </x:c>
      <x:c r="K6" s="31" t="str">
        <x:v>Not</x:v>
      </x:c>
    </x:row>
    <x:row r="7" ht="25" customHeight="1">
      <x:c r="A7" s="32" t="n">
        <x:v>1</x:v>
      </x:c>
      <x:c r="B7" s="32" t="str">
        <x:f>IF(DAY(DATE($F$2,$D$2,$B$2)+7*(A7-1))&lt;10,"0","")&amp;DAY(DATE($F$2,$D$2,$B$2)+7*(A7-1))&amp;"."&amp;IF(MONTH(DATE($F$2,$D$2,$B$2)+7*(A7-1))&lt;10,"0","")&amp;MONTH(DATE($F$2,$D$2,$B$2)+7*(A7-1))&amp;"."&amp;YEAR(DATE($F$2,$D$2,$B$2)+7*(A7-1))</x:f>
        <x:v>31.08.2026</x:v>
      </x:c>
      <x:c r="C7" s="32" t="str">
        <x:f>IF(DAY(DATE($F$2,$D$2,$B$2)+7*(A7-1)+6)&lt;10,"0","")&amp;DAY(DATE($F$2,$D$2,$B$2)+7*(A7-1)+6)&amp;"."&amp;IF(MONTH(DATE($F$2,$D$2,$B$2)+7*(A7-1)+6)&lt;10,"0","")&amp;MONTH(DATE($F$2,$D$2,$B$2)+7*(A7-1)+6)&amp;"."&amp;YEAR(DATE($F$2,$D$2,$B$2)+7*(A7-1)+6)</x:f>
        <x:v>06.09.2026</x:v>
      </x:c>
      <x:c r="D7" s="33" t="n">
        <x:f>$B$3</x:f>
        <x:v>0</x:v>
      </x:c>
      <x:c r="E7" s="34" t="n">
        <x:f>SUMIFS('Plan Kalemleri'!$E$6:$E$205,'Plan Kalemleri'!$B$6:$B$205,"Beklenen tahsilat",'Plan Kalemleri'!$A$6:$A$205,"&gt;="&amp;(DATE($F$2,$D$2,$B$2)+7*(A7-1)),'Plan Kalemleri'!$A$6:$A$205,"&lt;="&amp;(DATE($F$2,$D$2,$B$2)+7*(A7-1)+6))</x:f>
        <x:v>0</x:v>
      </x:c>
      <x:c r="F7" s="34" t="n">
        <x:f>SUMIFS('Plan Kalemleri'!$E$6:$E$205,'Plan Kalemleri'!$B$6:$B$205,"Planlanan gelir",'Plan Kalemleri'!$A$6:$A$205,"&gt;="&amp;(DATE($F$2,$D$2,$B$2)+7*(A7-1)),'Plan Kalemleri'!$A$6:$A$205,"&lt;="&amp;(DATE($F$2,$D$2,$B$2)+7*(A7-1)+6))</x:f>
        <x:v>0</x:v>
      </x:c>
      <x:c r="G7" s="34" t="n">
        <x:f>SUMIFS('Plan Kalemleri'!$E$6:$E$205,'Plan Kalemleri'!$B$6:$B$205,"Beklenen ödeme",'Plan Kalemleri'!$A$6:$A$205,"&gt;="&amp;(DATE($F$2,$D$2,$B$2)+7*(A7-1)),'Plan Kalemleri'!$A$6:$A$205,"&lt;="&amp;(DATE($F$2,$D$2,$B$2)+7*(A7-1)+6))</x:f>
        <x:v>0</x:v>
      </x:c>
      <x:c r="H7" s="34" t="n">
        <x:f>SUMIFS('Plan Kalemleri'!$E$6:$E$205,'Plan Kalemleri'!$B$6:$B$205,"Planlanan gider",'Plan Kalemleri'!$A$6:$A$205,"&gt;="&amp;(DATE($F$2,$D$2,$B$2)+7*(A7-1)),'Plan Kalemleri'!$A$6:$A$205,"&lt;="&amp;(DATE($F$2,$D$2,$B$2)+7*(A7-1)+6))</x:f>
        <x:v>0</x:v>
      </x:c>
      <x:c r="I7" s="33" t="n">
        <x:f>SUM(E7:F7)-SUM(G7:H7)</x:f>
        <x:v>0</x:v>
      </x:c>
      <x:c r="J7" s="36" t="n">
        <x:f>D7+I7</x:f>
        <x:v>0</x:v>
      </x:c>
      <x:c r="K7" s="10"/>
    </x:row>
    <x:row r="8" ht="25" customHeight="1">
      <x:c r="A8" s="32" t="n">
        <x:v>2</x:v>
      </x:c>
      <x:c r="B8" s="32" t="str">
        <x:f>IF(DAY(DATE($F$2,$D$2,$B$2)+7*(A8-1))&lt;10,"0","")&amp;DAY(DATE($F$2,$D$2,$B$2)+7*(A8-1))&amp;"."&amp;IF(MONTH(DATE($F$2,$D$2,$B$2)+7*(A8-1))&lt;10,"0","")&amp;MONTH(DATE($F$2,$D$2,$B$2)+7*(A8-1))&amp;"."&amp;YEAR(DATE($F$2,$D$2,$B$2)+7*(A8-1))</x:f>
        <x:v>07.09.2026</x:v>
      </x:c>
      <x:c r="C8" s="32" t="str">
        <x:f>IF(DAY(DATE($F$2,$D$2,$B$2)+7*(A8-1)+6)&lt;10,"0","")&amp;DAY(DATE($F$2,$D$2,$B$2)+7*(A8-1)+6)&amp;"."&amp;IF(MONTH(DATE($F$2,$D$2,$B$2)+7*(A8-1)+6)&lt;10,"0","")&amp;MONTH(DATE($F$2,$D$2,$B$2)+7*(A8-1)+6)&amp;"."&amp;YEAR(DATE($F$2,$D$2,$B$2)+7*(A8-1)+6)</x:f>
        <x:v>13.09.2026</x:v>
      </x:c>
      <x:c r="D8" s="33" t="n">
        <x:f>J7</x:f>
        <x:v>0</x:v>
      </x:c>
      <x:c r="E8" s="34" t="n">
        <x:f>SUMIFS('Plan Kalemleri'!$E$6:$E$205,'Plan Kalemleri'!$B$6:$B$205,"Beklenen tahsilat",'Plan Kalemleri'!$A$6:$A$205,"&gt;="&amp;(DATE($F$2,$D$2,$B$2)+7*(A8-1)),'Plan Kalemleri'!$A$6:$A$205,"&lt;="&amp;(DATE($F$2,$D$2,$B$2)+7*(A8-1)+6))</x:f>
        <x:v>0</x:v>
      </x:c>
      <x:c r="F8" s="34" t="n">
        <x:f>SUMIFS('Plan Kalemleri'!$E$6:$E$205,'Plan Kalemleri'!$B$6:$B$205,"Planlanan gelir",'Plan Kalemleri'!$A$6:$A$205,"&gt;="&amp;(DATE($F$2,$D$2,$B$2)+7*(A8-1)),'Plan Kalemleri'!$A$6:$A$205,"&lt;="&amp;(DATE($F$2,$D$2,$B$2)+7*(A8-1)+6))</x:f>
        <x:v>0</x:v>
      </x:c>
      <x:c r="G8" s="34" t="n">
        <x:f>SUMIFS('Plan Kalemleri'!$E$6:$E$205,'Plan Kalemleri'!$B$6:$B$205,"Beklenen ödeme",'Plan Kalemleri'!$A$6:$A$205,"&gt;="&amp;(DATE($F$2,$D$2,$B$2)+7*(A8-1)),'Plan Kalemleri'!$A$6:$A$205,"&lt;="&amp;(DATE($F$2,$D$2,$B$2)+7*(A8-1)+6))</x:f>
        <x:v>0</x:v>
      </x:c>
      <x:c r="H8" s="34" t="n">
        <x:f>SUMIFS('Plan Kalemleri'!$E$6:$E$205,'Plan Kalemleri'!$B$6:$B$205,"Planlanan gider",'Plan Kalemleri'!$A$6:$A$205,"&gt;="&amp;(DATE($F$2,$D$2,$B$2)+7*(A8-1)),'Plan Kalemleri'!$A$6:$A$205,"&lt;="&amp;(DATE($F$2,$D$2,$B$2)+7*(A8-1)+6))</x:f>
        <x:v>0</x:v>
      </x:c>
      <x:c r="I8" s="33" t="n">
        <x:f>SUM(E8:F8)-SUM(G8:H8)</x:f>
        <x:v>0</x:v>
      </x:c>
      <x:c r="J8" s="36" t="n">
        <x:f>D8+I8</x:f>
        <x:v>0</x:v>
      </x:c>
      <x:c r="K8" s="10"/>
    </x:row>
    <x:row r="9" ht="25" customHeight="1">
      <x:c r="A9" s="32" t="n">
        <x:v>3</x:v>
      </x:c>
      <x:c r="B9" s="32" t="str">
        <x:f>IF(DAY(DATE($F$2,$D$2,$B$2)+7*(A9-1))&lt;10,"0","")&amp;DAY(DATE($F$2,$D$2,$B$2)+7*(A9-1))&amp;"."&amp;IF(MONTH(DATE($F$2,$D$2,$B$2)+7*(A9-1))&lt;10,"0","")&amp;MONTH(DATE($F$2,$D$2,$B$2)+7*(A9-1))&amp;"."&amp;YEAR(DATE($F$2,$D$2,$B$2)+7*(A9-1))</x:f>
        <x:v>14.09.2026</x:v>
      </x:c>
      <x:c r="C9" s="32" t="str">
        <x:f>IF(DAY(DATE($F$2,$D$2,$B$2)+7*(A9-1)+6)&lt;10,"0","")&amp;DAY(DATE($F$2,$D$2,$B$2)+7*(A9-1)+6)&amp;"."&amp;IF(MONTH(DATE($F$2,$D$2,$B$2)+7*(A9-1)+6)&lt;10,"0","")&amp;MONTH(DATE($F$2,$D$2,$B$2)+7*(A9-1)+6)&amp;"."&amp;YEAR(DATE($F$2,$D$2,$B$2)+7*(A9-1)+6)</x:f>
        <x:v>20.09.2026</x:v>
      </x:c>
      <x:c r="D9" s="33" t="n">
        <x:f>J8</x:f>
        <x:v>0</x:v>
      </x:c>
      <x:c r="E9" s="34" t="n">
        <x:f>SUMIFS('Plan Kalemleri'!$E$6:$E$205,'Plan Kalemleri'!$B$6:$B$205,"Beklenen tahsilat",'Plan Kalemleri'!$A$6:$A$205,"&gt;="&amp;(DATE($F$2,$D$2,$B$2)+7*(A9-1)),'Plan Kalemleri'!$A$6:$A$205,"&lt;="&amp;(DATE($F$2,$D$2,$B$2)+7*(A9-1)+6))</x:f>
        <x:v>0</x:v>
      </x:c>
      <x:c r="F9" s="34" t="n">
        <x:f>SUMIFS('Plan Kalemleri'!$E$6:$E$205,'Plan Kalemleri'!$B$6:$B$205,"Planlanan gelir",'Plan Kalemleri'!$A$6:$A$205,"&gt;="&amp;(DATE($F$2,$D$2,$B$2)+7*(A9-1)),'Plan Kalemleri'!$A$6:$A$205,"&lt;="&amp;(DATE($F$2,$D$2,$B$2)+7*(A9-1)+6))</x:f>
        <x:v>0</x:v>
      </x:c>
      <x:c r="G9" s="34" t="n">
        <x:f>SUMIFS('Plan Kalemleri'!$E$6:$E$205,'Plan Kalemleri'!$B$6:$B$205,"Beklenen ödeme",'Plan Kalemleri'!$A$6:$A$205,"&gt;="&amp;(DATE($F$2,$D$2,$B$2)+7*(A9-1)),'Plan Kalemleri'!$A$6:$A$205,"&lt;="&amp;(DATE($F$2,$D$2,$B$2)+7*(A9-1)+6))</x:f>
        <x:v>0</x:v>
      </x:c>
      <x:c r="H9" s="34" t="n">
        <x:f>SUMIFS('Plan Kalemleri'!$E$6:$E$205,'Plan Kalemleri'!$B$6:$B$205,"Planlanan gider",'Plan Kalemleri'!$A$6:$A$205,"&gt;="&amp;(DATE($F$2,$D$2,$B$2)+7*(A9-1)),'Plan Kalemleri'!$A$6:$A$205,"&lt;="&amp;(DATE($F$2,$D$2,$B$2)+7*(A9-1)+6))</x:f>
        <x:v>0</x:v>
      </x:c>
      <x:c r="I9" s="33" t="n">
        <x:f>SUM(E9:F9)-SUM(G9:H9)</x:f>
        <x:v>0</x:v>
      </x:c>
      <x:c r="J9" s="36" t="n">
        <x:f>D9+I9</x:f>
        <x:v>0</x:v>
      </x:c>
      <x:c r="K9" s="10"/>
    </x:row>
    <x:row r="10" ht="25" customHeight="1">
      <x:c r="A10" s="32" t="n">
        <x:v>4</x:v>
      </x:c>
      <x:c r="B10" s="32" t="str">
        <x:f>IF(DAY(DATE($F$2,$D$2,$B$2)+7*(A10-1))&lt;10,"0","")&amp;DAY(DATE($F$2,$D$2,$B$2)+7*(A10-1))&amp;"."&amp;IF(MONTH(DATE($F$2,$D$2,$B$2)+7*(A10-1))&lt;10,"0","")&amp;MONTH(DATE($F$2,$D$2,$B$2)+7*(A10-1))&amp;"."&amp;YEAR(DATE($F$2,$D$2,$B$2)+7*(A10-1))</x:f>
        <x:v>21.09.2026</x:v>
      </x:c>
      <x:c r="C10" s="32" t="str">
        <x:f>IF(DAY(DATE($F$2,$D$2,$B$2)+7*(A10-1)+6)&lt;10,"0","")&amp;DAY(DATE($F$2,$D$2,$B$2)+7*(A10-1)+6)&amp;"."&amp;IF(MONTH(DATE($F$2,$D$2,$B$2)+7*(A10-1)+6)&lt;10,"0","")&amp;MONTH(DATE($F$2,$D$2,$B$2)+7*(A10-1)+6)&amp;"."&amp;YEAR(DATE($F$2,$D$2,$B$2)+7*(A10-1)+6)</x:f>
        <x:v>27.09.2026</x:v>
      </x:c>
      <x:c r="D10" s="33" t="n">
        <x:f>J9</x:f>
        <x:v>0</x:v>
      </x:c>
      <x:c r="E10" s="34" t="n">
        <x:f>SUMIFS('Plan Kalemleri'!$E$6:$E$205,'Plan Kalemleri'!$B$6:$B$205,"Beklenen tahsilat",'Plan Kalemleri'!$A$6:$A$205,"&gt;="&amp;(DATE($F$2,$D$2,$B$2)+7*(A10-1)),'Plan Kalemleri'!$A$6:$A$205,"&lt;="&amp;(DATE($F$2,$D$2,$B$2)+7*(A10-1)+6))</x:f>
        <x:v>0</x:v>
      </x:c>
      <x:c r="F10" s="34" t="n">
        <x:f>SUMIFS('Plan Kalemleri'!$E$6:$E$205,'Plan Kalemleri'!$B$6:$B$205,"Planlanan gelir",'Plan Kalemleri'!$A$6:$A$205,"&gt;="&amp;(DATE($F$2,$D$2,$B$2)+7*(A10-1)),'Plan Kalemleri'!$A$6:$A$205,"&lt;="&amp;(DATE($F$2,$D$2,$B$2)+7*(A10-1)+6))</x:f>
        <x:v>0</x:v>
      </x:c>
      <x:c r="G10" s="34" t="n">
        <x:f>SUMIFS('Plan Kalemleri'!$E$6:$E$205,'Plan Kalemleri'!$B$6:$B$205,"Beklenen ödeme",'Plan Kalemleri'!$A$6:$A$205,"&gt;="&amp;(DATE($F$2,$D$2,$B$2)+7*(A10-1)),'Plan Kalemleri'!$A$6:$A$205,"&lt;="&amp;(DATE($F$2,$D$2,$B$2)+7*(A10-1)+6))</x:f>
        <x:v>0</x:v>
      </x:c>
      <x:c r="H10" s="34" t="n">
        <x:f>SUMIFS('Plan Kalemleri'!$E$6:$E$205,'Plan Kalemleri'!$B$6:$B$205,"Planlanan gider",'Plan Kalemleri'!$A$6:$A$205,"&gt;="&amp;(DATE($F$2,$D$2,$B$2)+7*(A10-1)),'Plan Kalemleri'!$A$6:$A$205,"&lt;="&amp;(DATE($F$2,$D$2,$B$2)+7*(A10-1)+6))</x:f>
        <x:v>0</x:v>
      </x:c>
      <x:c r="I10" s="33" t="n">
        <x:f>SUM(E10:F10)-SUM(G10:H10)</x:f>
        <x:v>0</x:v>
      </x:c>
      <x:c r="J10" s="36" t="n">
        <x:f>D10+I10</x:f>
        <x:v>0</x:v>
      </x:c>
      <x:c r="K10" s="10"/>
    </x:row>
    <x:row r="11" ht="25" customHeight="1">
      <x:c r="A11" s="32" t="n">
        <x:v>5</x:v>
      </x:c>
      <x:c r="B11" s="32" t="str">
        <x:f>IF(DAY(DATE($F$2,$D$2,$B$2)+7*(A11-1))&lt;10,"0","")&amp;DAY(DATE($F$2,$D$2,$B$2)+7*(A11-1))&amp;"."&amp;IF(MONTH(DATE($F$2,$D$2,$B$2)+7*(A11-1))&lt;10,"0","")&amp;MONTH(DATE($F$2,$D$2,$B$2)+7*(A11-1))&amp;"."&amp;YEAR(DATE($F$2,$D$2,$B$2)+7*(A11-1))</x:f>
        <x:v>28.09.2026</x:v>
      </x:c>
      <x:c r="C11" s="32" t="str">
        <x:f>IF(DAY(DATE($F$2,$D$2,$B$2)+7*(A11-1)+6)&lt;10,"0","")&amp;DAY(DATE($F$2,$D$2,$B$2)+7*(A11-1)+6)&amp;"."&amp;IF(MONTH(DATE($F$2,$D$2,$B$2)+7*(A11-1)+6)&lt;10,"0","")&amp;MONTH(DATE($F$2,$D$2,$B$2)+7*(A11-1)+6)&amp;"."&amp;YEAR(DATE($F$2,$D$2,$B$2)+7*(A11-1)+6)</x:f>
        <x:v>04.10.2026</x:v>
      </x:c>
      <x:c r="D11" s="33" t="n">
        <x:f>J10</x:f>
        <x:v>0</x:v>
      </x:c>
      <x:c r="E11" s="34" t="n">
        <x:f>SUMIFS('Plan Kalemleri'!$E$6:$E$205,'Plan Kalemleri'!$B$6:$B$205,"Beklenen tahsilat",'Plan Kalemleri'!$A$6:$A$205,"&gt;="&amp;(DATE($F$2,$D$2,$B$2)+7*(A11-1)),'Plan Kalemleri'!$A$6:$A$205,"&lt;="&amp;(DATE($F$2,$D$2,$B$2)+7*(A11-1)+6))</x:f>
        <x:v>0</x:v>
      </x:c>
      <x:c r="F11" s="34" t="n">
        <x:f>SUMIFS('Plan Kalemleri'!$E$6:$E$205,'Plan Kalemleri'!$B$6:$B$205,"Planlanan gelir",'Plan Kalemleri'!$A$6:$A$205,"&gt;="&amp;(DATE($F$2,$D$2,$B$2)+7*(A11-1)),'Plan Kalemleri'!$A$6:$A$205,"&lt;="&amp;(DATE($F$2,$D$2,$B$2)+7*(A11-1)+6))</x:f>
        <x:v>0</x:v>
      </x:c>
      <x:c r="G11" s="34" t="n">
        <x:f>SUMIFS('Plan Kalemleri'!$E$6:$E$205,'Plan Kalemleri'!$B$6:$B$205,"Beklenen ödeme",'Plan Kalemleri'!$A$6:$A$205,"&gt;="&amp;(DATE($F$2,$D$2,$B$2)+7*(A11-1)),'Plan Kalemleri'!$A$6:$A$205,"&lt;="&amp;(DATE($F$2,$D$2,$B$2)+7*(A11-1)+6))</x:f>
        <x:v>0</x:v>
      </x:c>
      <x:c r="H11" s="34" t="n">
        <x:f>SUMIFS('Plan Kalemleri'!$E$6:$E$205,'Plan Kalemleri'!$B$6:$B$205,"Planlanan gider",'Plan Kalemleri'!$A$6:$A$205,"&gt;="&amp;(DATE($F$2,$D$2,$B$2)+7*(A11-1)),'Plan Kalemleri'!$A$6:$A$205,"&lt;="&amp;(DATE($F$2,$D$2,$B$2)+7*(A11-1)+6))</x:f>
        <x:v>0</x:v>
      </x:c>
      <x:c r="I11" s="33" t="n">
        <x:f>SUM(E11:F11)-SUM(G11:H11)</x:f>
        <x:v>0</x:v>
      </x:c>
      <x:c r="J11" s="36" t="n">
        <x:f>D11+I11</x:f>
        <x:v>0</x:v>
      </x:c>
      <x:c r="K11" s="10"/>
    </x:row>
    <x:row r="12" ht="25" customHeight="1">
      <x:c r="A12" s="32" t="n">
        <x:v>6</x:v>
      </x:c>
      <x:c r="B12" s="32" t="str">
        <x:f>IF(DAY(DATE($F$2,$D$2,$B$2)+7*(A12-1))&lt;10,"0","")&amp;DAY(DATE($F$2,$D$2,$B$2)+7*(A12-1))&amp;"."&amp;IF(MONTH(DATE($F$2,$D$2,$B$2)+7*(A12-1))&lt;10,"0","")&amp;MONTH(DATE($F$2,$D$2,$B$2)+7*(A12-1))&amp;"."&amp;YEAR(DATE($F$2,$D$2,$B$2)+7*(A12-1))</x:f>
        <x:v>05.10.2026</x:v>
      </x:c>
      <x:c r="C12" s="32" t="str">
        <x:f>IF(DAY(DATE($F$2,$D$2,$B$2)+7*(A12-1)+6)&lt;10,"0","")&amp;DAY(DATE($F$2,$D$2,$B$2)+7*(A12-1)+6)&amp;"."&amp;IF(MONTH(DATE($F$2,$D$2,$B$2)+7*(A12-1)+6)&lt;10,"0","")&amp;MONTH(DATE($F$2,$D$2,$B$2)+7*(A12-1)+6)&amp;"."&amp;YEAR(DATE($F$2,$D$2,$B$2)+7*(A12-1)+6)</x:f>
        <x:v>11.10.2026</x:v>
      </x:c>
      <x:c r="D12" s="33" t="n">
        <x:f>J11</x:f>
        <x:v>0</x:v>
      </x:c>
      <x:c r="E12" s="34" t="n">
        <x:f>SUMIFS('Plan Kalemleri'!$E$6:$E$205,'Plan Kalemleri'!$B$6:$B$205,"Beklenen tahsilat",'Plan Kalemleri'!$A$6:$A$205,"&gt;="&amp;(DATE($F$2,$D$2,$B$2)+7*(A12-1)),'Plan Kalemleri'!$A$6:$A$205,"&lt;="&amp;(DATE($F$2,$D$2,$B$2)+7*(A12-1)+6))</x:f>
        <x:v>0</x:v>
      </x:c>
      <x:c r="F12" s="34" t="n">
        <x:f>SUMIFS('Plan Kalemleri'!$E$6:$E$205,'Plan Kalemleri'!$B$6:$B$205,"Planlanan gelir",'Plan Kalemleri'!$A$6:$A$205,"&gt;="&amp;(DATE($F$2,$D$2,$B$2)+7*(A12-1)),'Plan Kalemleri'!$A$6:$A$205,"&lt;="&amp;(DATE($F$2,$D$2,$B$2)+7*(A12-1)+6))</x:f>
        <x:v>0</x:v>
      </x:c>
      <x:c r="G12" s="34" t="n">
        <x:f>SUMIFS('Plan Kalemleri'!$E$6:$E$205,'Plan Kalemleri'!$B$6:$B$205,"Beklenen ödeme",'Plan Kalemleri'!$A$6:$A$205,"&gt;="&amp;(DATE($F$2,$D$2,$B$2)+7*(A12-1)),'Plan Kalemleri'!$A$6:$A$205,"&lt;="&amp;(DATE($F$2,$D$2,$B$2)+7*(A12-1)+6))</x:f>
        <x:v>0</x:v>
      </x:c>
      <x:c r="H12" s="34" t="n">
        <x:f>SUMIFS('Plan Kalemleri'!$E$6:$E$205,'Plan Kalemleri'!$B$6:$B$205,"Planlanan gider",'Plan Kalemleri'!$A$6:$A$205,"&gt;="&amp;(DATE($F$2,$D$2,$B$2)+7*(A12-1)),'Plan Kalemleri'!$A$6:$A$205,"&lt;="&amp;(DATE($F$2,$D$2,$B$2)+7*(A12-1)+6))</x:f>
        <x:v>0</x:v>
      </x:c>
      <x:c r="I12" s="33" t="n">
        <x:f>SUM(E12:F12)-SUM(G12:H12)</x:f>
        <x:v>0</x:v>
      </x:c>
      <x:c r="J12" s="36" t="n">
        <x:f>D12+I12</x:f>
        <x:v>0</x:v>
      </x:c>
      <x:c r="K12" s="10"/>
    </x:row>
    <x:row r="13" ht="25" customHeight="1">
      <x:c r="A13" s="32" t="n">
        <x:v>7</x:v>
      </x:c>
      <x:c r="B13" s="32" t="str">
        <x:f>IF(DAY(DATE($F$2,$D$2,$B$2)+7*(A13-1))&lt;10,"0","")&amp;DAY(DATE($F$2,$D$2,$B$2)+7*(A13-1))&amp;"."&amp;IF(MONTH(DATE($F$2,$D$2,$B$2)+7*(A13-1))&lt;10,"0","")&amp;MONTH(DATE($F$2,$D$2,$B$2)+7*(A13-1))&amp;"."&amp;YEAR(DATE($F$2,$D$2,$B$2)+7*(A13-1))</x:f>
        <x:v>12.10.2026</x:v>
      </x:c>
      <x:c r="C13" s="32" t="str">
        <x:f>IF(DAY(DATE($F$2,$D$2,$B$2)+7*(A13-1)+6)&lt;10,"0","")&amp;DAY(DATE($F$2,$D$2,$B$2)+7*(A13-1)+6)&amp;"."&amp;IF(MONTH(DATE($F$2,$D$2,$B$2)+7*(A13-1)+6)&lt;10,"0","")&amp;MONTH(DATE($F$2,$D$2,$B$2)+7*(A13-1)+6)&amp;"."&amp;YEAR(DATE($F$2,$D$2,$B$2)+7*(A13-1)+6)</x:f>
        <x:v>18.10.2026</x:v>
      </x:c>
      <x:c r="D13" s="33" t="n">
        <x:f>J12</x:f>
        <x:v>0</x:v>
      </x:c>
      <x:c r="E13" s="34" t="n">
        <x:f>SUMIFS('Plan Kalemleri'!$E$6:$E$205,'Plan Kalemleri'!$B$6:$B$205,"Beklenen tahsilat",'Plan Kalemleri'!$A$6:$A$205,"&gt;="&amp;(DATE($F$2,$D$2,$B$2)+7*(A13-1)),'Plan Kalemleri'!$A$6:$A$205,"&lt;="&amp;(DATE($F$2,$D$2,$B$2)+7*(A13-1)+6))</x:f>
        <x:v>0</x:v>
      </x:c>
      <x:c r="F13" s="34" t="n">
        <x:f>SUMIFS('Plan Kalemleri'!$E$6:$E$205,'Plan Kalemleri'!$B$6:$B$205,"Planlanan gelir",'Plan Kalemleri'!$A$6:$A$205,"&gt;="&amp;(DATE($F$2,$D$2,$B$2)+7*(A13-1)),'Plan Kalemleri'!$A$6:$A$205,"&lt;="&amp;(DATE($F$2,$D$2,$B$2)+7*(A13-1)+6))</x:f>
        <x:v>0</x:v>
      </x:c>
      <x:c r="G13" s="34" t="n">
        <x:f>SUMIFS('Plan Kalemleri'!$E$6:$E$205,'Plan Kalemleri'!$B$6:$B$205,"Beklenen ödeme",'Plan Kalemleri'!$A$6:$A$205,"&gt;="&amp;(DATE($F$2,$D$2,$B$2)+7*(A13-1)),'Plan Kalemleri'!$A$6:$A$205,"&lt;="&amp;(DATE($F$2,$D$2,$B$2)+7*(A13-1)+6))</x:f>
        <x:v>0</x:v>
      </x:c>
      <x:c r="H13" s="34" t="n">
        <x:f>SUMIFS('Plan Kalemleri'!$E$6:$E$205,'Plan Kalemleri'!$B$6:$B$205,"Planlanan gider",'Plan Kalemleri'!$A$6:$A$205,"&gt;="&amp;(DATE($F$2,$D$2,$B$2)+7*(A13-1)),'Plan Kalemleri'!$A$6:$A$205,"&lt;="&amp;(DATE($F$2,$D$2,$B$2)+7*(A13-1)+6))</x:f>
        <x:v>0</x:v>
      </x:c>
      <x:c r="I13" s="33" t="n">
        <x:f>SUM(E13:F13)-SUM(G13:H13)</x:f>
        <x:v>0</x:v>
      </x:c>
      <x:c r="J13" s="36" t="n">
        <x:f>D13+I13</x:f>
        <x:v>0</x:v>
      </x:c>
      <x:c r="K13" s="10"/>
    </x:row>
    <x:row r="14" ht="25" customHeight="1">
      <x:c r="A14" s="32" t="n">
        <x:v>8</x:v>
      </x:c>
      <x:c r="B14" s="32" t="str">
        <x:f>IF(DAY(DATE($F$2,$D$2,$B$2)+7*(A14-1))&lt;10,"0","")&amp;DAY(DATE($F$2,$D$2,$B$2)+7*(A14-1))&amp;"."&amp;IF(MONTH(DATE($F$2,$D$2,$B$2)+7*(A14-1))&lt;10,"0","")&amp;MONTH(DATE($F$2,$D$2,$B$2)+7*(A14-1))&amp;"."&amp;YEAR(DATE($F$2,$D$2,$B$2)+7*(A14-1))</x:f>
        <x:v>19.10.2026</x:v>
      </x:c>
      <x:c r="C14" s="32" t="str">
        <x:f>IF(DAY(DATE($F$2,$D$2,$B$2)+7*(A14-1)+6)&lt;10,"0","")&amp;DAY(DATE($F$2,$D$2,$B$2)+7*(A14-1)+6)&amp;"."&amp;IF(MONTH(DATE($F$2,$D$2,$B$2)+7*(A14-1)+6)&lt;10,"0","")&amp;MONTH(DATE($F$2,$D$2,$B$2)+7*(A14-1)+6)&amp;"."&amp;YEAR(DATE($F$2,$D$2,$B$2)+7*(A14-1)+6)</x:f>
        <x:v>25.10.2026</x:v>
      </x:c>
      <x:c r="D14" s="33" t="n">
        <x:f>J13</x:f>
        <x:v>0</x:v>
      </x:c>
      <x:c r="E14" s="34" t="n">
        <x:f>SUMIFS('Plan Kalemleri'!$E$6:$E$205,'Plan Kalemleri'!$B$6:$B$205,"Beklenen tahsilat",'Plan Kalemleri'!$A$6:$A$205,"&gt;="&amp;(DATE($F$2,$D$2,$B$2)+7*(A14-1)),'Plan Kalemleri'!$A$6:$A$205,"&lt;="&amp;(DATE($F$2,$D$2,$B$2)+7*(A14-1)+6))</x:f>
        <x:v>0</x:v>
      </x:c>
      <x:c r="F14" s="34" t="n">
        <x:f>SUMIFS('Plan Kalemleri'!$E$6:$E$205,'Plan Kalemleri'!$B$6:$B$205,"Planlanan gelir",'Plan Kalemleri'!$A$6:$A$205,"&gt;="&amp;(DATE($F$2,$D$2,$B$2)+7*(A14-1)),'Plan Kalemleri'!$A$6:$A$205,"&lt;="&amp;(DATE($F$2,$D$2,$B$2)+7*(A14-1)+6))</x:f>
        <x:v>0</x:v>
      </x:c>
      <x:c r="G14" s="34" t="n">
        <x:f>SUMIFS('Plan Kalemleri'!$E$6:$E$205,'Plan Kalemleri'!$B$6:$B$205,"Beklenen ödeme",'Plan Kalemleri'!$A$6:$A$205,"&gt;="&amp;(DATE($F$2,$D$2,$B$2)+7*(A14-1)),'Plan Kalemleri'!$A$6:$A$205,"&lt;="&amp;(DATE($F$2,$D$2,$B$2)+7*(A14-1)+6))</x:f>
        <x:v>0</x:v>
      </x:c>
      <x:c r="H14" s="34" t="n">
        <x:f>SUMIFS('Plan Kalemleri'!$E$6:$E$205,'Plan Kalemleri'!$B$6:$B$205,"Planlanan gider",'Plan Kalemleri'!$A$6:$A$205,"&gt;="&amp;(DATE($F$2,$D$2,$B$2)+7*(A14-1)),'Plan Kalemleri'!$A$6:$A$205,"&lt;="&amp;(DATE($F$2,$D$2,$B$2)+7*(A14-1)+6))</x:f>
        <x:v>0</x:v>
      </x:c>
      <x:c r="I14" s="33" t="n">
        <x:f>SUM(E14:F14)-SUM(G14:H14)</x:f>
        <x:v>0</x:v>
      </x:c>
      <x:c r="J14" s="36" t="n">
        <x:f>D14+I14</x:f>
        <x:v>0</x:v>
      </x:c>
      <x:c r="K14" s="10"/>
    </x:row>
    <x:row r="15" ht="25" customHeight="1">
      <x:c r="A15" s="32" t="n">
        <x:v>9</x:v>
      </x:c>
      <x:c r="B15" s="32" t="str">
        <x:f>IF(DAY(DATE($F$2,$D$2,$B$2)+7*(A15-1))&lt;10,"0","")&amp;DAY(DATE($F$2,$D$2,$B$2)+7*(A15-1))&amp;"."&amp;IF(MONTH(DATE($F$2,$D$2,$B$2)+7*(A15-1))&lt;10,"0","")&amp;MONTH(DATE($F$2,$D$2,$B$2)+7*(A15-1))&amp;"."&amp;YEAR(DATE($F$2,$D$2,$B$2)+7*(A15-1))</x:f>
        <x:v>26.10.2026</x:v>
      </x:c>
      <x:c r="C15" s="32" t="str">
        <x:f>IF(DAY(DATE($F$2,$D$2,$B$2)+7*(A15-1)+6)&lt;10,"0","")&amp;DAY(DATE($F$2,$D$2,$B$2)+7*(A15-1)+6)&amp;"."&amp;IF(MONTH(DATE($F$2,$D$2,$B$2)+7*(A15-1)+6)&lt;10,"0","")&amp;MONTH(DATE($F$2,$D$2,$B$2)+7*(A15-1)+6)&amp;"."&amp;YEAR(DATE($F$2,$D$2,$B$2)+7*(A15-1)+6)</x:f>
        <x:v>01.11.2026</x:v>
      </x:c>
      <x:c r="D15" s="33" t="n">
        <x:f>J14</x:f>
        <x:v>0</x:v>
      </x:c>
      <x:c r="E15" s="34" t="n">
        <x:f>SUMIFS('Plan Kalemleri'!$E$6:$E$205,'Plan Kalemleri'!$B$6:$B$205,"Beklenen tahsilat",'Plan Kalemleri'!$A$6:$A$205,"&gt;="&amp;(DATE($F$2,$D$2,$B$2)+7*(A15-1)),'Plan Kalemleri'!$A$6:$A$205,"&lt;="&amp;(DATE($F$2,$D$2,$B$2)+7*(A15-1)+6))</x:f>
        <x:v>0</x:v>
      </x:c>
      <x:c r="F15" s="34" t="n">
        <x:f>SUMIFS('Plan Kalemleri'!$E$6:$E$205,'Plan Kalemleri'!$B$6:$B$205,"Planlanan gelir",'Plan Kalemleri'!$A$6:$A$205,"&gt;="&amp;(DATE($F$2,$D$2,$B$2)+7*(A15-1)),'Plan Kalemleri'!$A$6:$A$205,"&lt;="&amp;(DATE($F$2,$D$2,$B$2)+7*(A15-1)+6))</x:f>
        <x:v>0</x:v>
      </x:c>
      <x:c r="G15" s="34" t="n">
        <x:f>SUMIFS('Plan Kalemleri'!$E$6:$E$205,'Plan Kalemleri'!$B$6:$B$205,"Beklenen ödeme",'Plan Kalemleri'!$A$6:$A$205,"&gt;="&amp;(DATE($F$2,$D$2,$B$2)+7*(A15-1)),'Plan Kalemleri'!$A$6:$A$205,"&lt;="&amp;(DATE($F$2,$D$2,$B$2)+7*(A15-1)+6))</x:f>
        <x:v>0</x:v>
      </x:c>
      <x:c r="H15" s="34" t="n">
        <x:f>SUMIFS('Plan Kalemleri'!$E$6:$E$205,'Plan Kalemleri'!$B$6:$B$205,"Planlanan gider",'Plan Kalemleri'!$A$6:$A$205,"&gt;="&amp;(DATE($F$2,$D$2,$B$2)+7*(A15-1)),'Plan Kalemleri'!$A$6:$A$205,"&lt;="&amp;(DATE($F$2,$D$2,$B$2)+7*(A15-1)+6))</x:f>
        <x:v>0</x:v>
      </x:c>
      <x:c r="I15" s="33" t="n">
        <x:f>SUM(E15:F15)-SUM(G15:H15)</x:f>
        <x:v>0</x:v>
      </x:c>
      <x:c r="J15" s="36" t="n">
        <x:f>D15+I15</x:f>
        <x:v>0</x:v>
      </x:c>
      <x:c r="K15" s="10"/>
    </x:row>
    <x:row r="16" ht="25" customHeight="1">
      <x:c r="A16" s="32" t="n">
        <x:v>10</x:v>
      </x:c>
      <x:c r="B16" s="32" t="str">
        <x:f>IF(DAY(DATE($F$2,$D$2,$B$2)+7*(A16-1))&lt;10,"0","")&amp;DAY(DATE($F$2,$D$2,$B$2)+7*(A16-1))&amp;"."&amp;IF(MONTH(DATE($F$2,$D$2,$B$2)+7*(A16-1))&lt;10,"0","")&amp;MONTH(DATE($F$2,$D$2,$B$2)+7*(A16-1))&amp;"."&amp;YEAR(DATE($F$2,$D$2,$B$2)+7*(A16-1))</x:f>
        <x:v>02.11.2026</x:v>
      </x:c>
      <x:c r="C16" s="32" t="str">
        <x:f>IF(DAY(DATE($F$2,$D$2,$B$2)+7*(A16-1)+6)&lt;10,"0","")&amp;DAY(DATE($F$2,$D$2,$B$2)+7*(A16-1)+6)&amp;"."&amp;IF(MONTH(DATE($F$2,$D$2,$B$2)+7*(A16-1)+6)&lt;10,"0","")&amp;MONTH(DATE($F$2,$D$2,$B$2)+7*(A16-1)+6)&amp;"."&amp;YEAR(DATE($F$2,$D$2,$B$2)+7*(A16-1)+6)</x:f>
        <x:v>08.11.2026</x:v>
      </x:c>
      <x:c r="D16" s="33" t="n">
        <x:f>J15</x:f>
        <x:v>0</x:v>
      </x:c>
      <x:c r="E16" s="34" t="n">
        <x:f>SUMIFS('Plan Kalemleri'!$E$6:$E$205,'Plan Kalemleri'!$B$6:$B$205,"Beklenen tahsilat",'Plan Kalemleri'!$A$6:$A$205,"&gt;="&amp;(DATE($F$2,$D$2,$B$2)+7*(A16-1)),'Plan Kalemleri'!$A$6:$A$205,"&lt;="&amp;(DATE($F$2,$D$2,$B$2)+7*(A16-1)+6))</x:f>
        <x:v>0</x:v>
      </x:c>
      <x:c r="F16" s="34" t="n">
        <x:f>SUMIFS('Plan Kalemleri'!$E$6:$E$205,'Plan Kalemleri'!$B$6:$B$205,"Planlanan gelir",'Plan Kalemleri'!$A$6:$A$205,"&gt;="&amp;(DATE($F$2,$D$2,$B$2)+7*(A16-1)),'Plan Kalemleri'!$A$6:$A$205,"&lt;="&amp;(DATE($F$2,$D$2,$B$2)+7*(A16-1)+6))</x:f>
        <x:v>0</x:v>
      </x:c>
      <x:c r="G16" s="34" t="n">
        <x:f>SUMIFS('Plan Kalemleri'!$E$6:$E$205,'Plan Kalemleri'!$B$6:$B$205,"Beklenen ödeme",'Plan Kalemleri'!$A$6:$A$205,"&gt;="&amp;(DATE($F$2,$D$2,$B$2)+7*(A16-1)),'Plan Kalemleri'!$A$6:$A$205,"&lt;="&amp;(DATE($F$2,$D$2,$B$2)+7*(A16-1)+6))</x:f>
        <x:v>0</x:v>
      </x:c>
      <x:c r="H16" s="34" t="n">
        <x:f>SUMIFS('Plan Kalemleri'!$E$6:$E$205,'Plan Kalemleri'!$B$6:$B$205,"Planlanan gider",'Plan Kalemleri'!$A$6:$A$205,"&gt;="&amp;(DATE($F$2,$D$2,$B$2)+7*(A16-1)),'Plan Kalemleri'!$A$6:$A$205,"&lt;="&amp;(DATE($F$2,$D$2,$B$2)+7*(A16-1)+6))</x:f>
        <x:v>0</x:v>
      </x:c>
      <x:c r="I16" s="33" t="n">
        <x:f>SUM(E16:F16)-SUM(G16:H16)</x:f>
        <x:v>0</x:v>
      </x:c>
      <x:c r="J16" s="36" t="n">
        <x:f>D16+I16</x:f>
        <x:v>0</x:v>
      </x:c>
      <x:c r="K16" s="10"/>
    </x:row>
    <x:row r="17" ht="25" customHeight="1">
      <x:c r="A17" s="32" t="n">
        <x:v>11</x:v>
      </x:c>
      <x:c r="B17" s="32" t="str">
        <x:f>IF(DAY(DATE($F$2,$D$2,$B$2)+7*(A17-1))&lt;10,"0","")&amp;DAY(DATE($F$2,$D$2,$B$2)+7*(A17-1))&amp;"."&amp;IF(MONTH(DATE($F$2,$D$2,$B$2)+7*(A17-1))&lt;10,"0","")&amp;MONTH(DATE($F$2,$D$2,$B$2)+7*(A17-1))&amp;"."&amp;YEAR(DATE($F$2,$D$2,$B$2)+7*(A17-1))</x:f>
        <x:v>09.11.2026</x:v>
      </x:c>
      <x:c r="C17" s="32" t="str">
        <x:f>IF(DAY(DATE($F$2,$D$2,$B$2)+7*(A17-1)+6)&lt;10,"0","")&amp;DAY(DATE($F$2,$D$2,$B$2)+7*(A17-1)+6)&amp;"."&amp;IF(MONTH(DATE($F$2,$D$2,$B$2)+7*(A17-1)+6)&lt;10,"0","")&amp;MONTH(DATE($F$2,$D$2,$B$2)+7*(A17-1)+6)&amp;"."&amp;YEAR(DATE($F$2,$D$2,$B$2)+7*(A17-1)+6)</x:f>
        <x:v>15.11.2026</x:v>
      </x:c>
      <x:c r="D17" s="33" t="n">
        <x:f>J16</x:f>
        <x:v>0</x:v>
      </x:c>
      <x:c r="E17" s="34" t="n">
        <x:f>SUMIFS('Plan Kalemleri'!$E$6:$E$205,'Plan Kalemleri'!$B$6:$B$205,"Beklenen tahsilat",'Plan Kalemleri'!$A$6:$A$205,"&gt;="&amp;(DATE($F$2,$D$2,$B$2)+7*(A17-1)),'Plan Kalemleri'!$A$6:$A$205,"&lt;="&amp;(DATE($F$2,$D$2,$B$2)+7*(A17-1)+6))</x:f>
        <x:v>0</x:v>
      </x:c>
      <x:c r="F17" s="34" t="n">
        <x:f>SUMIFS('Plan Kalemleri'!$E$6:$E$205,'Plan Kalemleri'!$B$6:$B$205,"Planlanan gelir",'Plan Kalemleri'!$A$6:$A$205,"&gt;="&amp;(DATE($F$2,$D$2,$B$2)+7*(A17-1)),'Plan Kalemleri'!$A$6:$A$205,"&lt;="&amp;(DATE($F$2,$D$2,$B$2)+7*(A17-1)+6))</x:f>
        <x:v>0</x:v>
      </x:c>
      <x:c r="G17" s="34" t="n">
        <x:f>SUMIFS('Plan Kalemleri'!$E$6:$E$205,'Plan Kalemleri'!$B$6:$B$205,"Beklenen ödeme",'Plan Kalemleri'!$A$6:$A$205,"&gt;="&amp;(DATE($F$2,$D$2,$B$2)+7*(A17-1)),'Plan Kalemleri'!$A$6:$A$205,"&lt;="&amp;(DATE($F$2,$D$2,$B$2)+7*(A17-1)+6))</x:f>
        <x:v>0</x:v>
      </x:c>
      <x:c r="H17" s="34" t="n">
        <x:f>SUMIFS('Plan Kalemleri'!$E$6:$E$205,'Plan Kalemleri'!$B$6:$B$205,"Planlanan gider",'Plan Kalemleri'!$A$6:$A$205,"&gt;="&amp;(DATE($F$2,$D$2,$B$2)+7*(A17-1)),'Plan Kalemleri'!$A$6:$A$205,"&lt;="&amp;(DATE($F$2,$D$2,$B$2)+7*(A17-1)+6))</x:f>
        <x:v>0</x:v>
      </x:c>
      <x:c r="I17" s="33" t="n">
        <x:f>SUM(E17:F17)-SUM(G17:H17)</x:f>
        <x:v>0</x:v>
      </x:c>
      <x:c r="J17" s="36" t="n">
        <x:f>D17+I17</x:f>
        <x:v>0</x:v>
      </x:c>
      <x:c r="K17" s="10"/>
    </x:row>
    <x:row r="18" ht="25" customHeight="1">
      <x:c r="A18" s="32" t="n">
        <x:v>12</x:v>
      </x:c>
      <x:c r="B18" s="32" t="str">
        <x:f>IF(DAY(DATE($F$2,$D$2,$B$2)+7*(A18-1))&lt;10,"0","")&amp;DAY(DATE($F$2,$D$2,$B$2)+7*(A18-1))&amp;"."&amp;IF(MONTH(DATE($F$2,$D$2,$B$2)+7*(A18-1))&lt;10,"0","")&amp;MONTH(DATE($F$2,$D$2,$B$2)+7*(A18-1))&amp;"."&amp;YEAR(DATE($F$2,$D$2,$B$2)+7*(A18-1))</x:f>
        <x:v>16.11.2026</x:v>
      </x:c>
      <x:c r="C18" s="32" t="str">
        <x:f>IF(DAY(DATE($F$2,$D$2,$B$2)+7*(A18-1)+6)&lt;10,"0","")&amp;DAY(DATE($F$2,$D$2,$B$2)+7*(A18-1)+6)&amp;"."&amp;IF(MONTH(DATE($F$2,$D$2,$B$2)+7*(A18-1)+6)&lt;10,"0","")&amp;MONTH(DATE($F$2,$D$2,$B$2)+7*(A18-1)+6)&amp;"."&amp;YEAR(DATE($F$2,$D$2,$B$2)+7*(A18-1)+6)</x:f>
        <x:v>22.11.2026</x:v>
      </x:c>
      <x:c r="D18" s="33" t="n">
        <x:f>J17</x:f>
        <x:v>0</x:v>
      </x:c>
      <x:c r="E18" s="34" t="n">
        <x:f>SUMIFS('Plan Kalemleri'!$E$6:$E$205,'Plan Kalemleri'!$B$6:$B$205,"Beklenen tahsilat",'Plan Kalemleri'!$A$6:$A$205,"&gt;="&amp;(DATE($F$2,$D$2,$B$2)+7*(A18-1)),'Plan Kalemleri'!$A$6:$A$205,"&lt;="&amp;(DATE($F$2,$D$2,$B$2)+7*(A18-1)+6))</x:f>
        <x:v>0</x:v>
      </x:c>
      <x:c r="F18" s="34" t="n">
        <x:f>SUMIFS('Plan Kalemleri'!$E$6:$E$205,'Plan Kalemleri'!$B$6:$B$205,"Planlanan gelir",'Plan Kalemleri'!$A$6:$A$205,"&gt;="&amp;(DATE($F$2,$D$2,$B$2)+7*(A18-1)),'Plan Kalemleri'!$A$6:$A$205,"&lt;="&amp;(DATE($F$2,$D$2,$B$2)+7*(A18-1)+6))</x:f>
        <x:v>0</x:v>
      </x:c>
      <x:c r="G18" s="34" t="n">
        <x:f>SUMIFS('Plan Kalemleri'!$E$6:$E$205,'Plan Kalemleri'!$B$6:$B$205,"Beklenen ödeme",'Plan Kalemleri'!$A$6:$A$205,"&gt;="&amp;(DATE($F$2,$D$2,$B$2)+7*(A18-1)),'Plan Kalemleri'!$A$6:$A$205,"&lt;="&amp;(DATE($F$2,$D$2,$B$2)+7*(A18-1)+6))</x:f>
        <x:v>0</x:v>
      </x:c>
      <x:c r="H18" s="34" t="n">
        <x:f>SUMIFS('Plan Kalemleri'!$E$6:$E$205,'Plan Kalemleri'!$B$6:$B$205,"Planlanan gider",'Plan Kalemleri'!$A$6:$A$205,"&gt;="&amp;(DATE($F$2,$D$2,$B$2)+7*(A18-1)),'Plan Kalemleri'!$A$6:$A$205,"&lt;="&amp;(DATE($F$2,$D$2,$B$2)+7*(A18-1)+6))</x:f>
        <x:v>0</x:v>
      </x:c>
      <x:c r="I18" s="33" t="n">
        <x:f>SUM(E18:F18)-SUM(G18:H18)</x:f>
        <x:v>0</x:v>
      </x:c>
      <x:c r="J18" s="36" t="n">
        <x:f>D18+I18</x:f>
        <x:v>0</x:v>
      </x:c>
      <x:c r="K18" s="10"/>
    </x:row>
    <x:row r="19" ht="25" customHeight="1">
      <x:c r="A19" s="32" t="n">
        <x:v>13</x:v>
      </x:c>
      <x:c r="B19" s="32" t="str">
        <x:f>IF(DAY(DATE($F$2,$D$2,$B$2)+7*(A19-1))&lt;10,"0","")&amp;DAY(DATE($F$2,$D$2,$B$2)+7*(A19-1))&amp;"."&amp;IF(MONTH(DATE($F$2,$D$2,$B$2)+7*(A19-1))&lt;10,"0","")&amp;MONTH(DATE($F$2,$D$2,$B$2)+7*(A19-1))&amp;"."&amp;YEAR(DATE($F$2,$D$2,$B$2)+7*(A19-1))</x:f>
        <x:v>23.11.2026</x:v>
      </x:c>
      <x:c r="C19" s="32" t="str">
        <x:f>IF(DAY(DATE($F$2,$D$2,$B$2)+7*(A19-1)+6)&lt;10,"0","")&amp;DAY(DATE($F$2,$D$2,$B$2)+7*(A19-1)+6)&amp;"."&amp;IF(MONTH(DATE($F$2,$D$2,$B$2)+7*(A19-1)+6)&lt;10,"0","")&amp;MONTH(DATE($F$2,$D$2,$B$2)+7*(A19-1)+6)&amp;"."&amp;YEAR(DATE($F$2,$D$2,$B$2)+7*(A19-1)+6)</x:f>
        <x:v>29.11.2026</x:v>
      </x:c>
      <x:c r="D19" s="33" t="n">
        <x:f>J18</x:f>
        <x:v>0</x:v>
      </x:c>
      <x:c r="E19" s="34" t="n">
        <x:f>SUMIFS('Plan Kalemleri'!$E$6:$E$205,'Plan Kalemleri'!$B$6:$B$205,"Beklenen tahsilat",'Plan Kalemleri'!$A$6:$A$205,"&gt;="&amp;(DATE($F$2,$D$2,$B$2)+7*(A19-1)),'Plan Kalemleri'!$A$6:$A$205,"&lt;="&amp;(DATE($F$2,$D$2,$B$2)+7*(A19-1)+6))</x:f>
        <x:v>0</x:v>
      </x:c>
      <x:c r="F19" s="34" t="n">
        <x:f>SUMIFS('Plan Kalemleri'!$E$6:$E$205,'Plan Kalemleri'!$B$6:$B$205,"Planlanan gelir",'Plan Kalemleri'!$A$6:$A$205,"&gt;="&amp;(DATE($F$2,$D$2,$B$2)+7*(A19-1)),'Plan Kalemleri'!$A$6:$A$205,"&lt;="&amp;(DATE($F$2,$D$2,$B$2)+7*(A19-1)+6))</x:f>
        <x:v>0</x:v>
      </x:c>
      <x:c r="G19" s="34" t="n">
        <x:f>SUMIFS('Plan Kalemleri'!$E$6:$E$205,'Plan Kalemleri'!$B$6:$B$205,"Beklenen ödeme",'Plan Kalemleri'!$A$6:$A$205,"&gt;="&amp;(DATE($F$2,$D$2,$B$2)+7*(A19-1)),'Plan Kalemleri'!$A$6:$A$205,"&lt;="&amp;(DATE($F$2,$D$2,$B$2)+7*(A19-1)+6))</x:f>
        <x:v>0</x:v>
      </x:c>
      <x:c r="H19" s="34" t="n">
        <x:f>SUMIFS('Plan Kalemleri'!$E$6:$E$205,'Plan Kalemleri'!$B$6:$B$205,"Planlanan gider",'Plan Kalemleri'!$A$6:$A$205,"&gt;="&amp;(DATE($F$2,$D$2,$B$2)+7*(A19-1)),'Plan Kalemleri'!$A$6:$A$205,"&lt;="&amp;(DATE($F$2,$D$2,$B$2)+7*(A19-1)+6))</x:f>
        <x:v>0</x:v>
      </x:c>
      <x:c r="I19" s="33" t="n">
        <x:f>SUM(E19:F19)-SUM(G19:H19)</x:f>
        <x:v>0</x:v>
      </x:c>
      <x:c r="J19" s="36" t="n">
        <x:f>D19+I19</x:f>
        <x:v>0</x:v>
      </x:c>
      <x:c r="K19" s="10"/>
    </x:row>
  </x:sheetData>
  <x:mergeCells>
    <x:mergeCell ref="A1:K1"/>
    <x:mergeCell ref="H2:K3"/>
  </x:mergeCells>
  <x:conditionalFormatting sqref="J7:J1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3" hidden="0" customWidth="1"/>
    <x:col min="4" max="4" width="34" hidden="0" customWidth="1"/>
    <x:col min="5" max="5" width="15" hidden="0" customWidth="1"/>
    <x:col min="6" max="6" width="14" hidden="0" customWidth="1"/>
    <x:col min="7" max="7" width="12" hidden="0" customWidth="1"/>
  </x:cols>
  <x:sheetData>
    <x:row r="1" ht="34" customHeight="1">
      <x:c r="A1" s="3" t="str">
        <x:v>13 haftalık nakit planı · kaynak kalemler</x:v>
      </x:c>
      <x:c r="B1" s="3"/>
      <x:c r="C1" s="3"/>
      <x:c r="D1" s="3"/>
      <x:c r="E1" s="3"/>
      <x:c r="F1" s="3"/>
      <x:c r="G1" s="3"/>
    </x:row>
    <x:row r="2" ht="28" customHeight="1">
      <x:c r="A2" s="4" t="str">
        <x:v>Her tahsilat ve ödemeyi tek satırda yazın. Sarı alanlar sizin giriş alanlarınızdır.</x:v>
      </x:c>
      <x:c r="B2" s="4"/>
      <x:c r="C2" s="4"/>
      <x:c r="D2" s="4"/>
      <x:c r="E2" s="4"/>
      <x:c r="F2" s="4"/>
      <x:c r="G2" s="4"/>
    </x:row>
    <x:row r="5" ht="28" customHeight="1">
      <x:c r="A5" s="8" t="str">
        <x:v>Tarih</x:v>
      </x:c>
      <x:c r="B5" s="8" t="str">
        <x:v>Tür</x:v>
      </x:c>
      <x:c r="C5" s="8" t="str">
        <x:v>Cari / kategori</x:v>
      </x:c>
      <x:c r="D5" s="8" t="str">
        <x:v>Açıklama</x:v>
      </x:c>
      <x:c r="E5" s="8" t="str">
        <x:v>Tutar</x:v>
      </x:c>
      <x:c r="F5" s="8" t="str">
        <x:v>Kesinlik</x:v>
      </x:c>
      <x:c r="G5" s="8" t="str">
        <x:v>Hafta</x:v>
      </x:c>
    </x:row>
    <x:row r="6">
      <x:c r="A6" s="15"/>
      <x:c r="B6" s="11"/>
      <x:c r="C6" s="11"/>
      <x:c r="D6" s="11"/>
      <x:c r="E6" s="16"/>
      <x:c r="F6" s="11"/>
      <x:c r="G6" s="14" t="str">
        <x:f>IF(A6="","",IF(OR(A6&lt;DATE('13 Haftalık Plan'!$F$2,'13 Haftalık Plan'!$D$2,'13 Haftalık Plan'!$B$2),A6&gt;DATE('13 Haftalık Plan'!$F$2,'13 Haftalık Plan'!$D$2,'13 Haftalık Plan'!$B$2)+90),"Dışarıda",INT((A6-DATE('13 Haftalık Plan'!$F$2,'13 Haftalık Plan'!$D$2,'13 Haftalık Plan'!$B$2))/7)+1))</x:f>
      </x:c>
    </x:row>
    <x:row r="7">
      <x:c r="A7" s="15"/>
      <x:c r="B7" s="11"/>
      <x:c r="C7" s="11"/>
      <x:c r="D7" s="11"/>
      <x:c r="E7" s="16"/>
      <x:c r="F7" s="11"/>
      <x:c r="G7" s="14" t="str">
        <x:f>IF(A7="","",IF(OR(A7&lt;DATE('13 Haftalık Plan'!$F$2,'13 Haftalık Plan'!$D$2,'13 Haftalık Plan'!$B$2),A7&gt;DATE('13 Haftalık Plan'!$F$2,'13 Haftalık Plan'!$D$2,'13 Haftalık Plan'!$B$2)+90),"Dışarıda",INT((A7-DATE('13 Haftalık Plan'!$F$2,'13 Haftalık Plan'!$D$2,'13 Haftalık Plan'!$B$2))/7)+1))</x:f>
      </x:c>
    </x:row>
    <x:row r="8">
      <x:c r="A8" s="15"/>
      <x:c r="B8" s="11"/>
      <x:c r="C8" s="11"/>
      <x:c r="D8" s="11"/>
      <x:c r="E8" s="16"/>
      <x:c r="F8" s="11"/>
      <x:c r="G8" s="14" t="str">
        <x:f>IF(A8="","",IF(OR(A8&lt;DATE('13 Haftalık Plan'!$F$2,'13 Haftalık Plan'!$D$2,'13 Haftalık Plan'!$B$2),A8&gt;DATE('13 Haftalık Plan'!$F$2,'13 Haftalık Plan'!$D$2,'13 Haftalık Plan'!$B$2)+90),"Dışarıda",INT((A8-DATE('13 Haftalık Plan'!$F$2,'13 Haftalık Plan'!$D$2,'13 Haftalık Plan'!$B$2))/7)+1))</x:f>
      </x:c>
    </x:row>
    <x:row r="9">
      <x:c r="A9" s="15"/>
      <x:c r="B9" s="11"/>
      <x:c r="C9" s="11"/>
      <x:c r="D9" s="11"/>
      <x:c r="E9" s="16"/>
      <x:c r="F9" s="11"/>
      <x:c r="G9" s="14" t="str">
        <x:f>IF(A9="","",IF(OR(A9&lt;DATE('13 Haftalık Plan'!$F$2,'13 Haftalık Plan'!$D$2,'13 Haftalık Plan'!$B$2),A9&gt;DATE('13 Haftalık Plan'!$F$2,'13 Haftalık Plan'!$D$2,'13 Haftalık Plan'!$B$2)+90),"Dışarıda",INT((A9-DATE('13 Haftalık Plan'!$F$2,'13 Haftalık Plan'!$D$2,'13 Haftalık Plan'!$B$2))/7)+1))</x:f>
      </x:c>
    </x:row>
    <x:row r="10">
      <x:c r="A10" s="15"/>
      <x:c r="B10" s="11"/>
      <x:c r="C10" s="11"/>
      <x:c r="D10" s="11"/>
      <x:c r="E10" s="16"/>
      <x:c r="F10" s="11"/>
      <x:c r="G10" s="14" t="str">
        <x:f>IF(A10="","",IF(OR(A10&lt;DATE('13 Haftalık Plan'!$F$2,'13 Haftalık Plan'!$D$2,'13 Haftalık Plan'!$B$2),A10&gt;DATE('13 Haftalık Plan'!$F$2,'13 Haftalık Plan'!$D$2,'13 Haftalık Plan'!$B$2)+90),"Dışarıda",INT((A10-DATE('13 Haftalık Plan'!$F$2,'13 Haftalık Plan'!$D$2,'13 Haftalık Plan'!$B$2))/7)+1))</x:f>
      </x:c>
    </x:row>
    <x:row r="11">
      <x:c r="A11" s="15"/>
      <x:c r="B11" s="11"/>
      <x:c r="C11" s="11"/>
      <x:c r="D11" s="11"/>
      <x:c r="E11" s="16"/>
      <x:c r="F11" s="11"/>
      <x:c r="G11" s="14" t="str">
        <x:f>IF(A11="","",IF(OR(A11&lt;DATE('13 Haftalık Plan'!$F$2,'13 Haftalık Plan'!$D$2,'13 Haftalık Plan'!$B$2),A11&gt;DATE('13 Haftalık Plan'!$F$2,'13 Haftalık Plan'!$D$2,'13 Haftalık Plan'!$B$2)+90),"Dışarıda",INT((A11-DATE('13 Haftalık Plan'!$F$2,'13 Haftalık Plan'!$D$2,'13 Haftalık Plan'!$B$2))/7)+1))</x:f>
      </x:c>
    </x:row>
    <x:row r="12">
      <x:c r="A12" s="15"/>
      <x:c r="B12" s="11"/>
      <x:c r="C12" s="11"/>
      <x:c r="D12" s="11"/>
      <x:c r="E12" s="16"/>
      <x:c r="F12" s="11"/>
      <x:c r="G12" s="14" t="str">
        <x:f>IF(A12="","",IF(OR(A12&lt;DATE('13 Haftalık Plan'!$F$2,'13 Haftalık Plan'!$D$2,'13 Haftalık Plan'!$B$2),A12&gt;DATE('13 Haftalık Plan'!$F$2,'13 Haftalık Plan'!$D$2,'13 Haftalık Plan'!$B$2)+90),"Dışarıda",INT((A12-DATE('13 Haftalık Plan'!$F$2,'13 Haftalık Plan'!$D$2,'13 Haftalık Plan'!$B$2))/7)+1))</x:f>
      </x:c>
    </x:row>
    <x:row r="13">
      <x:c r="A13" s="15"/>
      <x:c r="B13" s="11"/>
      <x:c r="C13" s="11"/>
      <x:c r="D13" s="11"/>
      <x:c r="E13" s="16"/>
      <x:c r="F13" s="11"/>
      <x:c r="G13" s="14" t="str">
        <x:f>IF(A13="","",IF(OR(A13&lt;DATE('13 Haftalık Plan'!$F$2,'13 Haftalık Plan'!$D$2,'13 Haftalık Plan'!$B$2),A13&gt;DATE('13 Haftalık Plan'!$F$2,'13 Haftalık Plan'!$D$2,'13 Haftalık Plan'!$B$2)+90),"Dışarıda",INT((A13-DATE('13 Haftalık Plan'!$F$2,'13 Haftalık Plan'!$D$2,'13 Haftalık Plan'!$B$2))/7)+1))</x:f>
      </x:c>
    </x:row>
    <x:row r="14">
      <x:c r="A14" s="15"/>
      <x:c r="B14" s="11"/>
      <x:c r="C14" s="11"/>
      <x:c r="D14" s="11"/>
      <x:c r="E14" s="16"/>
      <x:c r="F14" s="11"/>
      <x:c r="G14" s="14" t="str">
        <x:f>IF(A14="","",IF(OR(A14&lt;DATE('13 Haftalık Plan'!$F$2,'13 Haftalık Plan'!$D$2,'13 Haftalık Plan'!$B$2),A14&gt;DATE('13 Haftalık Plan'!$F$2,'13 Haftalık Plan'!$D$2,'13 Haftalık Plan'!$B$2)+90),"Dışarıda",INT((A14-DATE('13 Haftalık Plan'!$F$2,'13 Haftalık Plan'!$D$2,'13 Haftalık Plan'!$B$2))/7)+1))</x:f>
      </x:c>
    </x:row>
    <x:row r="15">
      <x:c r="A15" s="15"/>
      <x:c r="B15" s="11"/>
      <x:c r="C15" s="11"/>
      <x:c r="D15" s="11"/>
      <x:c r="E15" s="16"/>
      <x:c r="F15" s="11"/>
      <x:c r="G15" s="14" t="str">
        <x:f>IF(A15="","",IF(OR(A15&lt;DATE('13 Haftalık Plan'!$F$2,'13 Haftalık Plan'!$D$2,'13 Haftalık Plan'!$B$2),A15&gt;DATE('13 Haftalık Plan'!$F$2,'13 Haftalık Plan'!$D$2,'13 Haftalık Plan'!$B$2)+90),"Dışarıda",INT((A15-DATE('13 Haftalık Plan'!$F$2,'13 Haftalık Plan'!$D$2,'13 Haftalık Plan'!$B$2))/7)+1))</x:f>
      </x:c>
    </x:row>
    <x:row r="16">
      <x:c r="A16" s="15"/>
      <x:c r="B16" s="11"/>
      <x:c r="C16" s="11"/>
      <x:c r="D16" s="11"/>
      <x:c r="E16" s="16"/>
      <x:c r="F16" s="11"/>
      <x:c r="G16" s="14" t="str">
        <x:f>IF(A16="","",IF(OR(A16&lt;DATE('13 Haftalık Plan'!$F$2,'13 Haftalık Plan'!$D$2,'13 Haftalık Plan'!$B$2),A16&gt;DATE('13 Haftalık Plan'!$F$2,'13 Haftalık Plan'!$D$2,'13 Haftalık Plan'!$B$2)+90),"Dışarıda",INT((A16-DATE('13 Haftalık Plan'!$F$2,'13 Haftalık Plan'!$D$2,'13 Haftalık Plan'!$B$2))/7)+1))</x:f>
      </x:c>
    </x:row>
    <x:row r="17">
      <x:c r="A17" s="15"/>
      <x:c r="B17" s="11"/>
      <x:c r="C17" s="11"/>
      <x:c r="D17" s="11"/>
      <x:c r="E17" s="16"/>
      <x:c r="F17" s="11"/>
      <x:c r="G17" s="14" t="str">
        <x:f>IF(A17="","",IF(OR(A17&lt;DATE('13 Haftalık Plan'!$F$2,'13 Haftalık Plan'!$D$2,'13 Haftalık Plan'!$B$2),A17&gt;DATE('13 Haftalık Plan'!$F$2,'13 Haftalık Plan'!$D$2,'13 Haftalık Plan'!$B$2)+90),"Dışarıda",INT((A17-DATE('13 Haftalık Plan'!$F$2,'13 Haftalık Plan'!$D$2,'13 Haftalık Plan'!$B$2))/7)+1))</x:f>
      </x:c>
    </x:row>
    <x:row r="18">
      <x:c r="A18" s="15"/>
      <x:c r="B18" s="11"/>
      <x:c r="C18" s="11"/>
      <x:c r="D18" s="11"/>
      <x:c r="E18" s="16"/>
      <x:c r="F18" s="11"/>
      <x:c r="G18" s="14" t="str">
        <x:f>IF(A18="","",IF(OR(A18&lt;DATE('13 Haftalık Plan'!$F$2,'13 Haftalık Plan'!$D$2,'13 Haftalık Plan'!$B$2),A18&gt;DATE('13 Haftalık Plan'!$F$2,'13 Haftalık Plan'!$D$2,'13 Haftalık Plan'!$B$2)+90),"Dışarıda",INT((A18-DATE('13 Haftalık Plan'!$F$2,'13 Haftalık Plan'!$D$2,'13 Haftalık Plan'!$B$2))/7)+1))</x:f>
      </x:c>
    </x:row>
    <x:row r="19">
      <x:c r="A19" s="15"/>
      <x:c r="B19" s="11"/>
      <x:c r="C19" s="11"/>
      <x:c r="D19" s="11"/>
      <x:c r="E19" s="16"/>
      <x:c r="F19" s="11"/>
      <x:c r="G19" s="14" t="str">
        <x:f>IF(A19="","",IF(OR(A19&lt;DATE('13 Haftalık Plan'!$F$2,'13 Haftalık Plan'!$D$2,'13 Haftalık Plan'!$B$2),A19&gt;DATE('13 Haftalık Plan'!$F$2,'13 Haftalık Plan'!$D$2,'13 Haftalık Plan'!$B$2)+90),"Dışarıda",INT((A19-DATE('13 Haftalık Plan'!$F$2,'13 Haftalık Plan'!$D$2,'13 Haftalık Plan'!$B$2))/7)+1))</x:f>
      </x:c>
    </x:row>
    <x:row r="20">
      <x:c r="A20" s="15"/>
      <x:c r="B20" s="11"/>
      <x:c r="C20" s="11"/>
      <x:c r="D20" s="11"/>
      <x:c r="E20" s="16"/>
      <x:c r="F20" s="11"/>
      <x:c r="G20" s="14" t="str">
        <x:f>IF(A20="","",IF(OR(A20&lt;DATE('13 Haftalık Plan'!$F$2,'13 Haftalık Plan'!$D$2,'13 Haftalık Plan'!$B$2),A20&gt;DATE('13 Haftalık Plan'!$F$2,'13 Haftalık Plan'!$D$2,'13 Haftalık Plan'!$B$2)+90),"Dışarıda",INT((A20-DATE('13 Haftalık Plan'!$F$2,'13 Haftalık Plan'!$D$2,'13 Haftalık Plan'!$B$2))/7)+1))</x:f>
      </x:c>
    </x:row>
    <x:row r="21">
      <x:c r="A21" s="15"/>
      <x:c r="B21" s="11"/>
      <x:c r="C21" s="11"/>
      <x:c r="D21" s="11"/>
      <x:c r="E21" s="16"/>
      <x:c r="F21" s="11"/>
      <x:c r="G21" s="14" t="str">
        <x:f>IF(A21="","",IF(OR(A21&lt;DATE('13 Haftalık Plan'!$F$2,'13 Haftalık Plan'!$D$2,'13 Haftalık Plan'!$B$2),A21&gt;DATE('13 Haftalık Plan'!$F$2,'13 Haftalık Plan'!$D$2,'13 Haftalık Plan'!$B$2)+90),"Dışarıda",INT((A21-DATE('13 Haftalık Plan'!$F$2,'13 Haftalık Plan'!$D$2,'13 Haftalık Plan'!$B$2))/7)+1))</x:f>
      </x:c>
    </x:row>
    <x:row r="22">
      <x:c r="A22" s="15"/>
      <x:c r="B22" s="11"/>
      <x:c r="C22" s="11"/>
      <x:c r="D22" s="11"/>
      <x:c r="E22" s="16"/>
      <x:c r="F22" s="11"/>
      <x:c r="G22" s="14" t="str">
        <x:f>IF(A22="","",IF(OR(A22&lt;DATE('13 Haftalık Plan'!$F$2,'13 Haftalık Plan'!$D$2,'13 Haftalık Plan'!$B$2),A22&gt;DATE('13 Haftalık Plan'!$F$2,'13 Haftalık Plan'!$D$2,'13 Haftalık Plan'!$B$2)+90),"Dışarıda",INT((A22-DATE('13 Haftalık Plan'!$F$2,'13 Haftalık Plan'!$D$2,'13 Haftalık Plan'!$B$2))/7)+1))</x:f>
      </x:c>
    </x:row>
    <x:row r="23">
      <x:c r="A23" s="15"/>
      <x:c r="B23" s="11"/>
      <x:c r="C23" s="11"/>
      <x:c r="D23" s="11"/>
      <x:c r="E23" s="16"/>
      <x:c r="F23" s="11"/>
      <x:c r="G23" s="14" t="str">
        <x:f>IF(A23="","",IF(OR(A23&lt;DATE('13 Haftalık Plan'!$F$2,'13 Haftalık Plan'!$D$2,'13 Haftalık Plan'!$B$2),A23&gt;DATE('13 Haftalık Plan'!$F$2,'13 Haftalık Plan'!$D$2,'13 Haftalık Plan'!$B$2)+90),"Dışarıda",INT((A23-DATE('13 Haftalık Plan'!$F$2,'13 Haftalık Plan'!$D$2,'13 Haftalık Plan'!$B$2))/7)+1))</x:f>
      </x:c>
    </x:row>
    <x:row r="24">
      <x:c r="A24" s="15"/>
      <x:c r="B24" s="11"/>
      <x:c r="C24" s="11"/>
      <x:c r="D24" s="11"/>
      <x:c r="E24" s="16"/>
      <x:c r="F24" s="11"/>
      <x:c r="G24" s="14" t="str">
        <x:f>IF(A24="","",IF(OR(A24&lt;DATE('13 Haftalık Plan'!$F$2,'13 Haftalık Plan'!$D$2,'13 Haftalık Plan'!$B$2),A24&gt;DATE('13 Haftalık Plan'!$F$2,'13 Haftalık Plan'!$D$2,'13 Haftalık Plan'!$B$2)+90),"Dışarıda",INT((A24-DATE('13 Haftalık Plan'!$F$2,'13 Haftalık Plan'!$D$2,'13 Haftalık Plan'!$B$2))/7)+1))</x:f>
      </x:c>
    </x:row>
    <x:row r="25">
      <x:c r="A25" s="15"/>
      <x:c r="B25" s="11"/>
      <x:c r="C25" s="11"/>
      <x:c r="D25" s="11"/>
      <x:c r="E25" s="16"/>
      <x:c r="F25" s="11"/>
      <x:c r="G25" s="14" t="str">
        <x:f>IF(A25="","",IF(OR(A25&lt;DATE('13 Haftalık Plan'!$F$2,'13 Haftalık Plan'!$D$2,'13 Haftalık Plan'!$B$2),A25&gt;DATE('13 Haftalık Plan'!$F$2,'13 Haftalık Plan'!$D$2,'13 Haftalık Plan'!$B$2)+90),"Dışarıda",INT((A25-DATE('13 Haftalık Plan'!$F$2,'13 Haftalık Plan'!$D$2,'13 Haftalık Plan'!$B$2))/7)+1))</x:f>
      </x:c>
    </x:row>
    <x:row r="26">
      <x:c r="A26" s="15"/>
      <x:c r="B26" s="11"/>
      <x:c r="C26" s="11"/>
      <x:c r="D26" s="11"/>
      <x:c r="E26" s="16"/>
      <x:c r="F26" s="11"/>
      <x:c r="G26" s="14" t="str">
        <x:f>IF(A26="","",IF(OR(A26&lt;DATE('13 Haftalık Plan'!$F$2,'13 Haftalık Plan'!$D$2,'13 Haftalık Plan'!$B$2),A26&gt;DATE('13 Haftalık Plan'!$F$2,'13 Haftalık Plan'!$D$2,'13 Haftalık Plan'!$B$2)+90),"Dışarıda",INT((A26-DATE('13 Haftalık Plan'!$F$2,'13 Haftalık Plan'!$D$2,'13 Haftalık Plan'!$B$2))/7)+1))</x:f>
      </x:c>
    </x:row>
    <x:row r="27">
      <x:c r="A27" s="15"/>
      <x:c r="B27" s="11"/>
      <x:c r="C27" s="11"/>
      <x:c r="D27" s="11"/>
      <x:c r="E27" s="16"/>
      <x:c r="F27" s="11"/>
      <x:c r="G27" s="14" t="str">
        <x:f>IF(A27="","",IF(OR(A27&lt;DATE('13 Haftalık Plan'!$F$2,'13 Haftalık Plan'!$D$2,'13 Haftalık Plan'!$B$2),A27&gt;DATE('13 Haftalık Plan'!$F$2,'13 Haftalık Plan'!$D$2,'13 Haftalık Plan'!$B$2)+90),"Dışarıda",INT((A27-DATE('13 Haftalık Plan'!$F$2,'13 Haftalık Plan'!$D$2,'13 Haftalık Plan'!$B$2))/7)+1))</x:f>
      </x:c>
    </x:row>
    <x:row r="28">
      <x:c r="A28" s="15"/>
      <x:c r="B28" s="11"/>
      <x:c r="C28" s="11"/>
      <x:c r="D28" s="11"/>
      <x:c r="E28" s="16"/>
      <x:c r="F28" s="11"/>
      <x:c r="G28" s="14" t="str">
        <x:f>IF(A28="","",IF(OR(A28&lt;DATE('13 Haftalık Plan'!$F$2,'13 Haftalık Plan'!$D$2,'13 Haftalık Plan'!$B$2),A28&gt;DATE('13 Haftalık Plan'!$F$2,'13 Haftalık Plan'!$D$2,'13 Haftalık Plan'!$B$2)+90),"Dışarıda",INT((A28-DATE('13 Haftalık Plan'!$F$2,'13 Haftalık Plan'!$D$2,'13 Haftalık Plan'!$B$2))/7)+1))</x:f>
      </x:c>
    </x:row>
    <x:row r="29">
      <x:c r="A29" s="15"/>
      <x:c r="B29" s="11"/>
      <x:c r="C29" s="11"/>
      <x:c r="D29" s="11"/>
      <x:c r="E29" s="16"/>
      <x:c r="F29" s="11"/>
      <x:c r="G29" s="14" t="str">
        <x:f>IF(A29="","",IF(OR(A29&lt;DATE('13 Haftalık Plan'!$F$2,'13 Haftalık Plan'!$D$2,'13 Haftalık Plan'!$B$2),A29&gt;DATE('13 Haftalık Plan'!$F$2,'13 Haftalık Plan'!$D$2,'13 Haftalık Plan'!$B$2)+90),"Dışarıda",INT((A29-DATE('13 Haftalık Plan'!$F$2,'13 Haftalık Plan'!$D$2,'13 Haftalık Plan'!$B$2))/7)+1))</x:f>
      </x:c>
    </x:row>
    <x:row r="30">
      <x:c r="A30" s="15"/>
      <x:c r="B30" s="11"/>
      <x:c r="C30" s="11"/>
      <x:c r="D30" s="11"/>
      <x:c r="E30" s="16"/>
      <x:c r="F30" s="11"/>
      <x:c r="G30" s="14" t="str">
        <x:f>IF(A30="","",IF(OR(A30&lt;DATE('13 Haftalık Plan'!$F$2,'13 Haftalık Plan'!$D$2,'13 Haftalık Plan'!$B$2),A30&gt;DATE('13 Haftalık Plan'!$F$2,'13 Haftalık Plan'!$D$2,'13 Haftalık Plan'!$B$2)+90),"Dışarıda",INT((A30-DATE('13 Haftalık Plan'!$F$2,'13 Haftalık Plan'!$D$2,'13 Haftalık Plan'!$B$2))/7)+1))</x:f>
      </x:c>
    </x:row>
    <x:row r="31">
      <x:c r="A31" s="15"/>
      <x:c r="B31" s="11"/>
      <x:c r="C31" s="11"/>
      <x:c r="D31" s="11"/>
      <x:c r="E31" s="16"/>
      <x:c r="F31" s="11"/>
      <x:c r="G31" s="14" t="str">
        <x:f>IF(A31="","",IF(OR(A31&lt;DATE('13 Haftalık Plan'!$F$2,'13 Haftalık Plan'!$D$2,'13 Haftalık Plan'!$B$2),A31&gt;DATE('13 Haftalık Plan'!$F$2,'13 Haftalık Plan'!$D$2,'13 Haftalık Plan'!$B$2)+90),"Dışarıda",INT((A31-DATE('13 Haftalık Plan'!$F$2,'13 Haftalık Plan'!$D$2,'13 Haftalık Plan'!$B$2))/7)+1))</x:f>
      </x:c>
    </x:row>
    <x:row r="32">
      <x:c r="A32" s="15"/>
      <x:c r="B32" s="11"/>
      <x:c r="C32" s="11"/>
      <x:c r="D32" s="11"/>
      <x:c r="E32" s="16"/>
      <x:c r="F32" s="11"/>
      <x:c r="G32" s="14" t="str">
        <x:f>IF(A32="","",IF(OR(A32&lt;DATE('13 Haftalık Plan'!$F$2,'13 Haftalık Plan'!$D$2,'13 Haftalık Plan'!$B$2),A32&gt;DATE('13 Haftalık Plan'!$F$2,'13 Haftalık Plan'!$D$2,'13 Haftalık Plan'!$B$2)+90),"Dışarıda",INT((A32-DATE('13 Haftalık Plan'!$F$2,'13 Haftalık Plan'!$D$2,'13 Haftalık Plan'!$B$2))/7)+1))</x:f>
      </x:c>
    </x:row>
    <x:row r="33">
      <x:c r="A33" s="15"/>
      <x:c r="B33" s="11"/>
      <x:c r="C33" s="11"/>
      <x:c r="D33" s="11"/>
      <x:c r="E33" s="16"/>
      <x:c r="F33" s="11"/>
      <x:c r="G33" s="14" t="str">
        <x:f>IF(A33="","",IF(OR(A33&lt;DATE('13 Haftalık Plan'!$F$2,'13 Haftalık Plan'!$D$2,'13 Haftalık Plan'!$B$2),A33&gt;DATE('13 Haftalık Plan'!$F$2,'13 Haftalık Plan'!$D$2,'13 Haftalık Plan'!$B$2)+90),"Dışarıda",INT((A33-DATE('13 Haftalık Plan'!$F$2,'13 Haftalık Plan'!$D$2,'13 Haftalık Plan'!$B$2))/7)+1))</x:f>
      </x:c>
    </x:row>
    <x:row r="34">
      <x:c r="A34" s="15"/>
      <x:c r="B34" s="11"/>
      <x:c r="C34" s="11"/>
      <x:c r="D34" s="11"/>
      <x:c r="E34" s="16"/>
      <x:c r="F34" s="11"/>
      <x:c r="G34" s="14" t="str">
        <x:f>IF(A34="","",IF(OR(A34&lt;DATE('13 Haftalık Plan'!$F$2,'13 Haftalık Plan'!$D$2,'13 Haftalık Plan'!$B$2),A34&gt;DATE('13 Haftalık Plan'!$F$2,'13 Haftalık Plan'!$D$2,'13 Haftalık Plan'!$B$2)+90),"Dışarıda",INT((A34-DATE('13 Haftalık Plan'!$F$2,'13 Haftalık Plan'!$D$2,'13 Haftalık Plan'!$B$2))/7)+1))</x:f>
      </x:c>
    </x:row>
    <x:row r="35">
      <x:c r="A35" s="15"/>
      <x:c r="B35" s="11"/>
      <x:c r="C35" s="11"/>
      <x:c r="D35" s="11"/>
      <x:c r="E35" s="16"/>
      <x:c r="F35" s="11"/>
      <x:c r="G35" s="14" t="str">
        <x:f>IF(A35="","",IF(OR(A35&lt;DATE('13 Haftalık Plan'!$F$2,'13 Haftalık Plan'!$D$2,'13 Haftalık Plan'!$B$2),A35&gt;DATE('13 Haftalık Plan'!$F$2,'13 Haftalık Plan'!$D$2,'13 Haftalık Plan'!$B$2)+90),"Dışarıda",INT((A35-DATE('13 Haftalık Plan'!$F$2,'13 Haftalık Plan'!$D$2,'13 Haftalık Plan'!$B$2))/7)+1))</x:f>
      </x:c>
    </x:row>
    <x:row r="36">
      <x:c r="A36" s="15"/>
      <x:c r="B36" s="11"/>
      <x:c r="C36" s="11"/>
      <x:c r="D36" s="11"/>
      <x:c r="E36" s="16"/>
      <x:c r="F36" s="11"/>
      <x:c r="G36" s="14" t="str">
        <x:f>IF(A36="","",IF(OR(A36&lt;DATE('13 Haftalık Plan'!$F$2,'13 Haftalık Plan'!$D$2,'13 Haftalık Plan'!$B$2),A36&gt;DATE('13 Haftalık Plan'!$F$2,'13 Haftalık Plan'!$D$2,'13 Haftalık Plan'!$B$2)+90),"Dışarıda",INT((A36-DATE('13 Haftalık Plan'!$F$2,'13 Haftalık Plan'!$D$2,'13 Haftalık Plan'!$B$2))/7)+1))</x:f>
      </x:c>
    </x:row>
    <x:row r="37">
      <x:c r="A37" s="15"/>
      <x:c r="B37" s="11"/>
      <x:c r="C37" s="11"/>
      <x:c r="D37" s="11"/>
      <x:c r="E37" s="16"/>
      <x:c r="F37" s="11"/>
      <x:c r="G37" s="14" t="str">
        <x:f>IF(A37="","",IF(OR(A37&lt;DATE('13 Haftalık Plan'!$F$2,'13 Haftalık Plan'!$D$2,'13 Haftalık Plan'!$B$2),A37&gt;DATE('13 Haftalık Plan'!$F$2,'13 Haftalık Plan'!$D$2,'13 Haftalık Plan'!$B$2)+90),"Dışarıda",INT((A37-DATE('13 Haftalık Plan'!$F$2,'13 Haftalık Plan'!$D$2,'13 Haftalık Plan'!$B$2))/7)+1))</x:f>
      </x:c>
    </x:row>
    <x:row r="38">
      <x:c r="A38" s="15"/>
      <x:c r="B38" s="11"/>
      <x:c r="C38" s="11"/>
      <x:c r="D38" s="11"/>
      <x:c r="E38" s="16"/>
      <x:c r="F38" s="11"/>
      <x:c r="G38" s="14" t="str">
        <x:f>IF(A38="","",IF(OR(A38&lt;DATE('13 Haftalık Plan'!$F$2,'13 Haftalık Plan'!$D$2,'13 Haftalık Plan'!$B$2),A38&gt;DATE('13 Haftalık Plan'!$F$2,'13 Haftalık Plan'!$D$2,'13 Haftalık Plan'!$B$2)+90),"Dışarıda",INT((A38-DATE('13 Haftalık Plan'!$F$2,'13 Haftalık Plan'!$D$2,'13 Haftalık Plan'!$B$2))/7)+1))</x:f>
      </x:c>
    </x:row>
    <x:row r="39">
      <x:c r="A39" s="15"/>
      <x:c r="B39" s="11"/>
      <x:c r="C39" s="11"/>
      <x:c r="D39" s="11"/>
      <x:c r="E39" s="16"/>
      <x:c r="F39" s="11"/>
      <x:c r="G39" s="14" t="str">
        <x:f>IF(A39="","",IF(OR(A39&lt;DATE('13 Haftalık Plan'!$F$2,'13 Haftalık Plan'!$D$2,'13 Haftalık Plan'!$B$2),A39&gt;DATE('13 Haftalık Plan'!$F$2,'13 Haftalık Plan'!$D$2,'13 Haftalık Plan'!$B$2)+90),"Dışarıda",INT((A39-DATE('13 Haftalık Plan'!$F$2,'13 Haftalık Plan'!$D$2,'13 Haftalık Plan'!$B$2))/7)+1))</x:f>
      </x:c>
    </x:row>
    <x:row r="40">
      <x:c r="A40" s="15"/>
      <x:c r="B40" s="11"/>
      <x:c r="C40" s="11"/>
      <x:c r="D40" s="11"/>
      <x:c r="E40" s="16"/>
      <x:c r="F40" s="11"/>
      <x:c r="G40" s="14" t="str">
        <x:f>IF(A40="","",IF(OR(A40&lt;DATE('13 Haftalık Plan'!$F$2,'13 Haftalık Plan'!$D$2,'13 Haftalık Plan'!$B$2),A40&gt;DATE('13 Haftalık Plan'!$F$2,'13 Haftalık Plan'!$D$2,'13 Haftalık Plan'!$B$2)+90),"Dışarıda",INT((A40-DATE('13 Haftalık Plan'!$F$2,'13 Haftalık Plan'!$D$2,'13 Haftalık Plan'!$B$2))/7)+1))</x:f>
      </x:c>
    </x:row>
    <x:row r="41">
      <x:c r="A41" s="15"/>
      <x:c r="B41" s="11"/>
      <x:c r="C41" s="11"/>
      <x:c r="D41" s="11"/>
      <x:c r="E41" s="16"/>
      <x:c r="F41" s="11"/>
      <x:c r="G41" s="14" t="str">
        <x:f>IF(A41="","",IF(OR(A41&lt;DATE('13 Haftalık Plan'!$F$2,'13 Haftalık Plan'!$D$2,'13 Haftalık Plan'!$B$2),A41&gt;DATE('13 Haftalık Plan'!$F$2,'13 Haftalık Plan'!$D$2,'13 Haftalık Plan'!$B$2)+90),"Dışarıda",INT((A41-DATE('13 Haftalık Plan'!$F$2,'13 Haftalık Plan'!$D$2,'13 Haftalık Plan'!$B$2))/7)+1))</x:f>
      </x:c>
    </x:row>
    <x:row r="42">
      <x:c r="A42" s="15"/>
      <x:c r="B42" s="11"/>
      <x:c r="C42" s="11"/>
      <x:c r="D42" s="11"/>
      <x:c r="E42" s="16"/>
      <x:c r="F42" s="11"/>
      <x:c r="G42" s="14" t="str">
        <x:f>IF(A42="","",IF(OR(A42&lt;DATE('13 Haftalık Plan'!$F$2,'13 Haftalık Plan'!$D$2,'13 Haftalık Plan'!$B$2),A42&gt;DATE('13 Haftalık Plan'!$F$2,'13 Haftalık Plan'!$D$2,'13 Haftalık Plan'!$B$2)+90),"Dışarıda",INT((A42-DATE('13 Haftalık Plan'!$F$2,'13 Haftalık Plan'!$D$2,'13 Haftalık Plan'!$B$2))/7)+1))</x:f>
      </x:c>
    </x:row>
    <x:row r="43">
      <x:c r="A43" s="15"/>
      <x:c r="B43" s="11"/>
      <x:c r="C43" s="11"/>
      <x:c r="D43" s="11"/>
      <x:c r="E43" s="16"/>
      <x:c r="F43" s="11"/>
      <x:c r="G43" s="14" t="str">
        <x:f>IF(A43="","",IF(OR(A43&lt;DATE('13 Haftalık Plan'!$F$2,'13 Haftalık Plan'!$D$2,'13 Haftalık Plan'!$B$2),A43&gt;DATE('13 Haftalık Plan'!$F$2,'13 Haftalık Plan'!$D$2,'13 Haftalık Plan'!$B$2)+90),"Dışarıda",INT((A43-DATE('13 Haftalık Plan'!$F$2,'13 Haftalık Plan'!$D$2,'13 Haftalık Plan'!$B$2))/7)+1))</x:f>
      </x:c>
    </x:row>
    <x:row r="44">
      <x:c r="A44" s="15"/>
      <x:c r="B44" s="11"/>
      <x:c r="C44" s="11"/>
      <x:c r="D44" s="11"/>
      <x:c r="E44" s="16"/>
      <x:c r="F44" s="11"/>
      <x:c r="G44" s="14" t="str">
        <x:f>IF(A44="","",IF(OR(A44&lt;DATE('13 Haftalık Plan'!$F$2,'13 Haftalık Plan'!$D$2,'13 Haftalık Plan'!$B$2),A44&gt;DATE('13 Haftalık Plan'!$F$2,'13 Haftalık Plan'!$D$2,'13 Haftalık Plan'!$B$2)+90),"Dışarıda",INT((A44-DATE('13 Haftalık Plan'!$F$2,'13 Haftalık Plan'!$D$2,'13 Haftalık Plan'!$B$2))/7)+1))</x:f>
      </x:c>
    </x:row>
    <x:row r="45">
      <x:c r="A45" s="15"/>
      <x:c r="B45" s="11"/>
      <x:c r="C45" s="11"/>
      <x:c r="D45" s="11"/>
      <x:c r="E45" s="16"/>
      <x:c r="F45" s="11"/>
      <x:c r="G45" s="14" t="str">
        <x:f>IF(A45="","",IF(OR(A45&lt;DATE('13 Haftalık Plan'!$F$2,'13 Haftalık Plan'!$D$2,'13 Haftalık Plan'!$B$2),A45&gt;DATE('13 Haftalık Plan'!$F$2,'13 Haftalık Plan'!$D$2,'13 Haftalık Plan'!$B$2)+90),"Dışarıda",INT((A45-DATE('13 Haftalık Plan'!$F$2,'13 Haftalık Plan'!$D$2,'13 Haftalık Plan'!$B$2))/7)+1))</x:f>
      </x:c>
    </x:row>
    <x:row r="46">
      <x:c r="A46" s="15"/>
      <x:c r="B46" s="11"/>
      <x:c r="C46" s="11"/>
      <x:c r="D46" s="11"/>
      <x:c r="E46" s="16"/>
      <x:c r="F46" s="11"/>
      <x:c r="G46" s="14" t="str">
        <x:f>IF(A46="","",IF(OR(A46&lt;DATE('13 Haftalık Plan'!$F$2,'13 Haftalık Plan'!$D$2,'13 Haftalık Plan'!$B$2),A46&gt;DATE('13 Haftalık Plan'!$F$2,'13 Haftalık Plan'!$D$2,'13 Haftalık Plan'!$B$2)+90),"Dışarıda",INT((A46-DATE('13 Haftalık Plan'!$F$2,'13 Haftalık Plan'!$D$2,'13 Haftalık Plan'!$B$2))/7)+1))</x:f>
      </x:c>
    </x:row>
    <x:row r="47">
      <x:c r="A47" s="15"/>
      <x:c r="B47" s="11"/>
      <x:c r="C47" s="11"/>
      <x:c r="D47" s="11"/>
      <x:c r="E47" s="16"/>
      <x:c r="F47" s="11"/>
      <x:c r="G47" s="14" t="str">
        <x:f>IF(A47="","",IF(OR(A47&lt;DATE('13 Haftalık Plan'!$F$2,'13 Haftalık Plan'!$D$2,'13 Haftalık Plan'!$B$2),A47&gt;DATE('13 Haftalık Plan'!$F$2,'13 Haftalık Plan'!$D$2,'13 Haftalık Plan'!$B$2)+90),"Dışarıda",INT((A47-DATE('13 Haftalık Plan'!$F$2,'13 Haftalık Plan'!$D$2,'13 Haftalık Plan'!$B$2))/7)+1))</x:f>
      </x:c>
    </x:row>
    <x:row r="48">
      <x:c r="A48" s="15"/>
      <x:c r="B48" s="11"/>
      <x:c r="C48" s="11"/>
      <x:c r="D48" s="11"/>
      <x:c r="E48" s="16"/>
      <x:c r="F48" s="11"/>
      <x:c r="G48" s="14" t="str">
        <x:f>IF(A48="","",IF(OR(A48&lt;DATE('13 Haftalık Plan'!$F$2,'13 Haftalık Plan'!$D$2,'13 Haftalık Plan'!$B$2),A48&gt;DATE('13 Haftalık Plan'!$F$2,'13 Haftalık Plan'!$D$2,'13 Haftalık Plan'!$B$2)+90),"Dışarıda",INT((A48-DATE('13 Haftalık Plan'!$F$2,'13 Haftalık Plan'!$D$2,'13 Haftalık Plan'!$B$2))/7)+1))</x:f>
      </x:c>
    </x:row>
    <x:row r="49">
      <x:c r="A49" s="15"/>
      <x:c r="B49" s="11"/>
      <x:c r="C49" s="11"/>
      <x:c r="D49" s="11"/>
      <x:c r="E49" s="16"/>
      <x:c r="F49" s="11"/>
      <x:c r="G49" s="14" t="str">
        <x:f>IF(A49="","",IF(OR(A49&lt;DATE('13 Haftalık Plan'!$F$2,'13 Haftalık Plan'!$D$2,'13 Haftalık Plan'!$B$2),A49&gt;DATE('13 Haftalık Plan'!$F$2,'13 Haftalık Plan'!$D$2,'13 Haftalık Plan'!$B$2)+90),"Dışarıda",INT((A49-DATE('13 Haftalık Plan'!$F$2,'13 Haftalık Plan'!$D$2,'13 Haftalık Plan'!$B$2))/7)+1))</x:f>
      </x:c>
    </x:row>
    <x:row r="50">
      <x:c r="A50" s="15"/>
      <x:c r="B50" s="11"/>
      <x:c r="C50" s="11"/>
      <x:c r="D50" s="11"/>
      <x:c r="E50" s="16"/>
      <x:c r="F50" s="11"/>
      <x:c r="G50" s="14" t="str">
        <x:f>IF(A50="","",IF(OR(A50&lt;DATE('13 Haftalık Plan'!$F$2,'13 Haftalık Plan'!$D$2,'13 Haftalık Plan'!$B$2),A50&gt;DATE('13 Haftalık Plan'!$F$2,'13 Haftalık Plan'!$D$2,'13 Haftalık Plan'!$B$2)+90),"Dışarıda",INT((A50-DATE('13 Haftalık Plan'!$F$2,'13 Haftalık Plan'!$D$2,'13 Haftalık Plan'!$B$2))/7)+1))</x:f>
      </x:c>
    </x:row>
    <x:row r="51">
      <x:c r="A51" s="15"/>
      <x:c r="B51" s="11"/>
      <x:c r="C51" s="11"/>
      <x:c r="D51" s="11"/>
      <x:c r="E51" s="16"/>
      <x:c r="F51" s="11"/>
      <x:c r="G51" s="14" t="str">
        <x:f>IF(A51="","",IF(OR(A51&lt;DATE('13 Haftalık Plan'!$F$2,'13 Haftalık Plan'!$D$2,'13 Haftalık Plan'!$B$2),A51&gt;DATE('13 Haftalık Plan'!$F$2,'13 Haftalık Plan'!$D$2,'13 Haftalık Plan'!$B$2)+90),"Dışarıda",INT((A51-DATE('13 Haftalık Plan'!$F$2,'13 Haftalık Plan'!$D$2,'13 Haftalık Plan'!$B$2))/7)+1))</x:f>
      </x:c>
    </x:row>
    <x:row r="52">
      <x:c r="A52" s="15"/>
      <x:c r="B52" s="11"/>
      <x:c r="C52" s="11"/>
      <x:c r="D52" s="11"/>
      <x:c r="E52" s="16"/>
      <x:c r="F52" s="11"/>
      <x:c r="G52" s="14" t="str">
        <x:f>IF(A52="","",IF(OR(A52&lt;DATE('13 Haftalık Plan'!$F$2,'13 Haftalık Plan'!$D$2,'13 Haftalık Plan'!$B$2),A52&gt;DATE('13 Haftalık Plan'!$F$2,'13 Haftalık Plan'!$D$2,'13 Haftalık Plan'!$B$2)+90),"Dışarıda",INT((A52-DATE('13 Haftalık Plan'!$F$2,'13 Haftalık Plan'!$D$2,'13 Haftalık Plan'!$B$2))/7)+1))</x:f>
      </x:c>
    </x:row>
    <x:row r="53">
      <x:c r="A53" s="15"/>
      <x:c r="B53" s="11"/>
      <x:c r="C53" s="11"/>
      <x:c r="D53" s="11"/>
      <x:c r="E53" s="16"/>
      <x:c r="F53" s="11"/>
      <x:c r="G53" s="14" t="str">
        <x:f>IF(A53="","",IF(OR(A53&lt;DATE('13 Haftalık Plan'!$F$2,'13 Haftalık Plan'!$D$2,'13 Haftalık Plan'!$B$2),A53&gt;DATE('13 Haftalık Plan'!$F$2,'13 Haftalık Plan'!$D$2,'13 Haftalık Plan'!$B$2)+90),"Dışarıda",INT((A53-DATE('13 Haftalık Plan'!$F$2,'13 Haftalık Plan'!$D$2,'13 Haftalık Plan'!$B$2))/7)+1))</x:f>
      </x:c>
    </x:row>
    <x:row r="54">
      <x:c r="A54" s="15"/>
      <x:c r="B54" s="11"/>
      <x:c r="C54" s="11"/>
      <x:c r="D54" s="11"/>
      <x:c r="E54" s="16"/>
      <x:c r="F54" s="11"/>
      <x:c r="G54" s="14" t="str">
        <x:f>IF(A54="","",IF(OR(A54&lt;DATE('13 Haftalık Plan'!$F$2,'13 Haftalık Plan'!$D$2,'13 Haftalık Plan'!$B$2),A54&gt;DATE('13 Haftalık Plan'!$F$2,'13 Haftalık Plan'!$D$2,'13 Haftalık Plan'!$B$2)+90),"Dışarıda",INT((A54-DATE('13 Haftalık Plan'!$F$2,'13 Haftalık Plan'!$D$2,'13 Haftalık Plan'!$B$2))/7)+1))</x:f>
      </x:c>
    </x:row>
    <x:row r="55">
      <x:c r="A55" s="15"/>
      <x:c r="B55" s="11"/>
      <x:c r="C55" s="11"/>
      <x:c r="D55" s="11"/>
      <x:c r="E55" s="16"/>
      <x:c r="F55" s="11"/>
      <x:c r="G55" s="14" t="str">
        <x:f>IF(A55="","",IF(OR(A55&lt;DATE('13 Haftalık Plan'!$F$2,'13 Haftalık Plan'!$D$2,'13 Haftalık Plan'!$B$2),A55&gt;DATE('13 Haftalık Plan'!$F$2,'13 Haftalık Plan'!$D$2,'13 Haftalık Plan'!$B$2)+90),"Dışarıda",INT((A55-DATE('13 Haftalık Plan'!$F$2,'13 Haftalık Plan'!$D$2,'13 Haftalık Plan'!$B$2))/7)+1))</x:f>
      </x:c>
    </x:row>
    <x:row r="56">
      <x:c r="A56" s="15"/>
      <x:c r="B56" s="11"/>
      <x:c r="C56" s="11"/>
      <x:c r="D56" s="11"/>
      <x:c r="E56" s="16"/>
      <x:c r="F56" s="11"/>
      <x:c r="G56" s="14" t="str">
        <x:f>IF(A56="","",IF(OR(A56&lt;DATE('13 Haftalık Plan'!$F$2,'13 Haftalık Plan'!$D$2,'13 Haftalık Plan'!$B$2),A56&gt;DATE('13 Haftalık Plan'!$F$2,'13 Haftalık Plan'!$D$2,'13 Haftalık Plan'!$B$2)+90),"Dışarıda",INT((A56-DATE('13 Haftalık Plan'!$F$2,'13 Haftalık Plan'!$D$2,'13 Haftalık Plan'!$B$2))/7)+1))</x:f>
      </x:c>
    </x:row>
    <x:row r="57">
      <x:c r="A57" s="15"/>
      <x:c r="B57" s="11"/>
      <x:c r="C57" s="11"/>
      <x:c r="D57" s="11"/>
      <x:c r="E57" s="16"/>
      <x:c r="F57" s="11"/>
      <x:c r="G57" s="14" t="str">
        <x:f>IF(A57="","",IF(OR(A57&lt;DATE('13 Haftalık Plan'!$F$2,'13 Haftalık Plan'!$D$2,'13 Haftalık Plan'!$B$2),A57&gt;DATE('13 Haftalık Plan'!$F$2,'13 Haftalık Plan'!$D$2,'13 Haftalık Plan'!$B$2)+90),"Dışarıda",INT((A57-DATE('13 Haftalık Plan'!$F$2,'13 Haftalık Plan'!$D$2,'13 Haftalık Plan'!$B$2))/7)+1))</x:f>
      </x:c>
    </x:row>
    <x:row r="58">
      <x:c r="A58" s="15"/>
      <x:c r="B58" s="11"/>
      <x:c r="C58" s="11"/>
      <x:c r="D58" s="11"/>
      <x:c r="E58" s="16"/>
      <x:c r="F58" s="11"/>
      <x:c r="G58" s="14" t="str">
        <x:f>IF(A58="","",IF(OR(A58&lt;DATE('13 Haftalık Plan'!$F$2,'13 Haftalık Plan'!$D$2,'13 Haftalık Plan'!$B$2),A58&gt;DATE('13 Haftalık Plan'!$F$2,'13 Haftalık Plan'!$D$2,'13 Haftalık Plan'!$B$2)+90),"Dışarıda",INT((A58-DATE('13 Haftalık Plan'!$F$2,'13 Haftalık Plan'!$D$2,'13 Haftalık Plan'!$B$2))/7)+1))</x:f>
      </x:c>
    </x:row>
    <x:row r="59">
      <x:c r="A59" s="15"/>
      <x:c r="B59" s="11"/>
      <x:c r="C59" s="11"/>
      <x:c r="D59" s="11"/>
      <x:c r="E59" s="16"/>
      <x:c r="F59" s="11"/>
      <x:c r="G59" s="14" t="str">
        <x:f>IF(A59="","",IF(OR(A59&lt;DATE('13 Haftalık Plan'!$F$2,'13 Haftalık Plan'!$D$2,'13 Haftalık Plan'!$B$2),A59&gt;DATE('13 Haftalık Plan'!$F$2,'13 Haftalık Plan'!$D$2,'13 Haftalık Plan'!$B$2)+90),"Dışarıda",INT((A59-DATE('13 Haftalık Plan'!$F$2,'13 Haftalık Plan'!$D$2,'13 Haftalık Plan'!$B$2))/7)+1))</x:f>
      </x:c>
    </x:row>
    <x:row r="60">
      <x:c r="A60" s="15"/>
      <x:c r="B60" s="11"/>
      <x:c r="C60" s="11"/>
      <x:c r="D60" s="11"/>
      <x:c r="E60" s="16"/>
      <x:c r="F60" s="11"/>
      <x:c r="G60" s="14" t="str">
        <x:f>IF(A60="","",IF(OR(A60&lt;DATE('13 Haftalık Plan'!$F$2,'13 Haftalık Plan'!$D$2,'13 Haftalık Plan'!$B$2),A60&gt;DATE('13 Haftalık Plan'!$F$2,'13 Haftalık Plan'!$D$2,'13 Haftalık Plan'!$B$2)+90),"Dışarıda",INT((A60-DATE('13 Haftalık Plan'!$F$2,'13 Haftalık Plan'!$D$2,'13 Haftalık Plan'!$B$2))/7)+1))</x:f>
      </x:c>
    </x:row>
    <x:row r="61">
      <x:c r="A61" s="15"/>
      <x:c r="B61" s="11"/>
      <x:c r="C61" s="11"/>
      <x:c r="D61" s="11"/>
      <x:c r="E61" s="16"/>
      <x:c r="F61" s="11"/>
      <x:c r="G61" s="14" t="str">
        <x:f>IF(A61="","",IF(OR(A61&lt;DATE('13 Haftalık Plan'!$F$2,'13 Haftalık Plan'!$D$2,'13 Haftalık Plan'!$B$2),A61&gt;DATE('13 Haftalık Plan'!$F$2,'13 Haftalık Plan'!$D$2,'13 Haftalık Plan'!$B$2)+90),"Dışarıda",INT((A61-DATE('13 Haftalık Plan'!$F$2,'13 Haftalık Plan'!$D$2,'13 Haftalık Plan'!$B$2))/7)+1))</x:f>
      </x:c>
    </x:row>
    <x:row r="62">
      <x:c r="A62" s="15"/>
      <x:c r="B62" s="11"/>
      <x:c r="C62" s="11"/>
      <x:c r="D62" s="11"/>
      <x:c r="E62" s="16"/>
      <x:c r="F62" s="11"/>
      <x:c r="G62" s="14" t="str">
        <x:f>IF(A62="","",IF(OR(A62&lt;DATE('13 Haftalık Plan'!$F$2,'13 Haftalık Plan'!$D$2,'13 Haftalık Plan'!$B$2),A62&gt;DATE('13 Haftalık Plan'!$F$2,'13 Haftalık Plan'!$D$2,'13 Haftalık Plan'!$B$2)+90),"Dışarıda",INT((A62-DATE('13 Haftalık Plan'!$F$2,'13 Haftalık Plan'!$D$2,'13 Haftalık Plan'!$B$2))/7)+1))</x:f>
      </x:c>
    </x:row>
    <x:row r="63">
      <x:c r="A63" s="15"/>
      <x:c r="B63" s="11"/>
      <x:c r="C63" s="11"/>
      <x:c r="D63" s="11"/>
      <x:c r="E63" s="16"/>
      <x:c r="F63" s="11"/>
      <x:c r="G63" s="14" t="str">
        <x:f>IF(A63="","",IF(OR(A63&lt;DATE('13 Haftalık Plan'!$F$2,'13 Haftalık Plan'!$D$2,'13 Haftalık Plan'!$B$2),A63&gt;DATE('13 Haftalık Plan'!$F$2,'13 Haftalık Plan'!$D$2,'13 Haftalık Plan'!$B$2)+90),"Dışarıda",INT((A63-DATE('13 Haftalık Plan'!$F$2,'13 Haftalık Plan'!$D$2,'13 Haftalık Plan'!$B$2))/7)+1))</x:f>
      </x:c>
    </x:row>
    <x:row r="64">
      <x:c r="A64" s="15"/>
      <x:c r="B64" s="11"/>
      <x:c r="C64" s="11"/>
      <x:c r="D64" s="11"/>
      <x:c r="E64" s="16"/>
      <x:c r="F64" s="11"/>
      <x:c r="G64" s="14" t="str">
        <x:f>IF(A64="","",IF(OR(A64&lt;DATE('13 Haftalık Plan'!$F$2,'13 Haftalık Plan'!$D$2,'13 Haftalık Plan'!$B$2),A64&gt;DATE('13 Haftalık Plan'!$F$2,'13 Haftalık Plan'!$D$2,'13 Haftalık Plan'!$B$2)+90),"Dışarıda",INT((A64-DATE('13 Haftalık Plan'!$F$2,'13 Haftalık Plan'!$D$2,'13 Haftalık Plan'!$B$2))/7)+1))</x:f>
      </x:c>
    </x:row>
    <x:row r="65">
      <x:c r="A65" s="15"/>
      <x:c r="B65" s="11"/>
      <x:c r="C65" s="11"/>
      <x:c r="D65" s="11"/>
      <x:c r="E65" s="16"/>
      <x:c r="F65" s="11"/>
      <x:c r="G65" s="14" t="str">
        <x:f>IF(A65="","",IF(OR(A65&lt;DATE('13 Haftalık Plan'!$F$2,'13 Haftalık Plan'!$D$2,'13 Haftalık Plan'!$B$2),A65&gt;DATE('13 Haftalık Plan'!$F$2,'13 Haftalık Plan'!$D$2,'13 Haftalık Plan'!$B$2)+90),"Dışarıda",INT((A65-DATE('13 Haftalık Plan'!$F$2,'13 Haftalık Plan'!$D$2,'13 Haftalık Plan'!$B$2))/7)+1))</x:f>
      </x:c>
    </x:row>
    <x:row r="66">
      <x:c r="A66" s="15"/>
      <x:c r="B66" s="11"/>
      <x:c r="C66" s="11"/>
      <x:c r="D66" s="11"/>
      <x:c r="E66" s="16"/>
      <x:c r="F66" s="11"/>
      <x:c r="G66" s="14" t="str">
        <x:f>IF(A66="","",IF(OR(A66&lt;DATE('13 Haftalık Plan'!$F$2,'13 Haftalık Plan'!$D$2,'13 Haftalık Plan'!$B$2),A66&gt;DATE('13 Haftalık Plan'!$F$2,'13 Haftalık Plan'!$D$2,'13 Haftalık Plan'!$B$2)+90),"Dışarıda",INT((A66-DATE('13 Haftalık Plan'!$F$2,'13 Haftalık Plan'!$D$2,'13 Haftalık Plan'!$B$2))/7)+1))</x:f>
      </x:c>
    </x:row>
    <x:row r="67">
      <x:c r="A67" s="15"/>
      <x:c r="B67" s="11"/>
      <x:c r="C67" s="11"/>
      <x:c r="D67" s="11"/>
      <x:c r="E67" s="16"/>
      <x:c r="F67" s="11"/>
      <x:c r="G67" s="14" t="str">
        <x:f>IF(A67="","",IF(OR(A67&lt;DATE('13 Haftalık Plan'!$F$2,'13 Haftalık Plan'!$D$2,'13 Haftalık Plan'!$B$2),A67&gt;DATE('13 Haftalık Plan'!$F$2,'13 Haftalık Plan'!$D$2,'13 Haftalık Plan'!$B$2)+90),"Dışarıda",INT((A67-DATE('13 Haftalık Plan'!$F$2,'13 Haftalık Plan'!$D$2,'13 Haftalık Plan'!$B$2))/7)+1))</x:f>
      </x:c>
    </x:row>
    <x:row r="68">
      <x:c r="A68" s="15"/>
      <x:c r="B68" s="11"/>
      <x:c r="C68" s="11"/>
      <x:c r="D68" s="11"/>
      <x:c r="E68" s="16"/>
      <x:c r="F68" s="11"/>
      <x:c r="G68" s="14" t="str">
        <x:f>IF(A68="","",IF(OR(A68&lt;DATE('13 Haftalık Plan'!$F$2,'13 Haftalık Plan'!$D$2,'13 Haftalık Plan'!$B$2),A68&gt;DATE('13 Haftalık Plan'!$F$2,'13 Haftalık Plan'!$D$2,'13 Haftalık Plan'!$B$2)+90),"Dışarıda",INT((A68-DATE('13 Haftalık Plan'!$F$2,'13 Haftalık Plan'!$D$2,'13 Haftalık Plan'!$B$2))/7)+1))</x:f>
      </x:c>
    </x:row>
    <x:row r="69">
      <x:c r="A69" s="15"/>
      <x:c r="B69" s="11"/>
      <x:c r="C69" s="11"/>
      <x:c r="D69" s="11"/>
      <x:c r="E69" s="16"/>
      <x:c r="F69" s="11"/>
      <x:c r="G69" s="14" t="str">
        <x:f>IF(A69="","",IF(OR(A69&lt;DATE('13 Haftalık Plan'!$F$2,'13 Haftalık Plan'!$D$2,'13 Haftalık Plan'!$B$2),A69&gt;DATE('13 Haftalık Plan'!$F$2,'13 Haftalık Plan'!$D$2,'13 Haftalık Plan'!$B$2)+90),"Dışarıda",INT((A69-DATE('13 Haftalık Plan'!$F$2,'13 Haftalık Plan'!$D$2,'13 Haftalık Plan'!$B$2))/7)+1))</x:f>
      </x:c>
    </x:row>
    <x:row r="70">
      <x:c r="A70" s="15"/>
      <x:c r="B70" s="11"/>
      <x:c r="C70" s="11"/>
      <x:c r="D70" s="11"/>
      <x:c r="E70" s="16"/>
      <x:c r="F70" s="11"/>
      <x:c r="G70" s="14" t="str">
        <x:f>IF(A70="","",IF(OR(A70&lt;DATE('13 Haftalık Plan'!$F$2,'13 Haftalık Plan'!$D$2,'13 Haftalık Plan'!$B$2),A70&gt;DATE('13 Haftalık Plan'!$F$2,'13 Haftalık Plan'!$D$2,'13 Haftalık Plan'!$B$2)+90),"Dışarıda",INT((A70-DATE('13 Haftalık Plan'!$F$2,'13 Haftalık Plan'!$D$2,'13 Haftalık Plan'!$B$2))/7)+1))</x:f>
      </x:c>
    </x:row>
    <x:row r="71">
      <x:c r="A71" s="15"/>
      <x:c r="B71" s="11"/>
      <x:c r="C71" s="11"/>
      <x:c r="D71" s="11"/>
      <x:c r="E71" s="16"/>
      <x:c r="F71" s="11"/>
      <x:c r="G71" s="14" t="str">
        <x:f>IF(A71="","",IF(OR(A71&lt;DATE('13 Haftalık Plan'!$F$2,'13 Haftalık Plan'!$D$2,'13 Haftalık Plan'!$B$2),A71&gt;DATE('13 Haftalık Plan'!$F$2,'13 Haftalık Plan'!$D$2,'13 Haftalık Plan'!$B$2)+90),"Dışarıda",INT((A71-DATE('13 Haftalık Plan'!$F$2,'13 Haftalık Plan'!$D$2,'13 Haftalık Plan'!$B$2))/7)+1))</x:f>
      </x:c>
    </x:row>
    <x:row r="72">
      <x:c r="A72" s="15"/>
      <x:c r="B72" s="11"/>
      <x:c r="C72" s="11"/>
      <x:c r="D72" s="11"/>
      <x:c r="E72" s="16"/>
      <x:c r="F72" s="11"/>
      <x:c r="G72" s="14" t="str">
        <x:f>IF(A72="","",IF(OR(A72&lt;DATE('13 Haftalık Plan'!$F$2,'13 Haftalık Plan'!$D$2,'13 Haftalık Plan'!$B$2),A72&gt;DATE('13 Haftalık Plan'!$F$2,'13 Haftalık Plan'!$D$2,'13 Haftalık Plan'!$B$2)+90),"Dışarıda",INT((A72-DATE('13 Haftalık Plan'!$F$2,'13 Haftalık Plan'!$D$2,'13 Haftalık Plan'!$B$2))/7)+1))</x:f>
      </x:c>
    </x:row>
    <x:row r="73">
      <x:c r="A73" s="15"/>
      <x:c r="B73" s="11"/>
      <x:c r="C73" s="11"/>
      <x:c r="D73" s="11"/>
      <x:c r="E73" s="16"/>
      <x:c r="F73" s="11"/>
      <x:c r="G73" s="14" t="str">
        <x:f>IF(A73="","",IF(OR(A73&lt;DATE('13 Haftalık Plan'!$F$2,'13 Haftalık Plan'!$D$2,'13 Haftalık Plan'!$B$2),A73&gt;DATE('13 Haftalık Plan'!$F$2,'13 Haftalık Plan'!$D$2,'13 Haftalık Plan'!$B$2)+90),"Dışarıda",INT((A73-DATE('13 Haftalık Plan'!$F$2,'13 Haftalık Plan'!$D$2,'13 Haftalık Plan'!$B$2))/7)+1))</x:f>
      </x:c>
    </x:row>
    <x:row r="74">
      <x:c r="A74" s="15"/>
      <x:c r="B74" s="11"/>
      <x:c r="C74" s="11"/>
      <x:c r="D74" s="11"/>
      <x:c r="E74" s="16"/>
      <x:c r="F74" s="11"/>
      <x:c r="G74" s="14" t="str">
        <x:f>IF(A74="","",IF(OR(A74&lt;DATE('13 Haftalık Plan'!$F$2,'13 Haftalık Plan'!$D$2,'13 Haftalık Plan'!$B$2),A74&gt;DATE('13 Haftalık Plan'!$F$2,'13 Haftalık Plan'!$D$2,'13 Haftalık Plan'!$B$2)+90),"Dışarıda",INT((A74-DATE('13 Haftalık Plan'!$F$2,'13 Haftalık Plan'!$D$2,'13 Haftalık Plan'!$B$2))/7)+1))</x:f>
      </x:c>
    </x:row>
    <x:row r="75">
      <x:c r="A75" s="15"/>
      <x:c r="B75" s="11"/>
      <x:c r="C75" s="11"/>
      <x:c r="D75" s="11"/>
      <x:c r="E75" s="16"/>
      <x:c r="F75" s="11"/>
      <x:c r="G75" s="14" t="str">
        <x:f>IF(A75="","",IF(OR(A75&lt;DATE('13 Haftalık Plan'!$F$2,'13 Haftalık Plan'!$D$2,'13 Haftalık Plan'!$B$2),A75&gt;DATE('13 Haftalık Plan'!$F$2,'13 Haftalık Plan'!$D$2,'13 Haftalık Plan'!$B$2)+90),"Dışarıda",INT((A75-DATE('13 Haftalık Plan'!$F$2,'13 Haftalık Plan'!$D$2,'13 Haftalık Plan'!$B$2))/7)+1))</x:f>
      </x:c>
    </x:row>
    <x:row r="76">
      <x:c r="A76" s="15"/>
      <x:c r="B76" s="11"/>
      <x:c r="C76" s="11"/>
      <x:c r="D76" s="11"/>
      <x:c r="E76" s="16"/>
      <x:c r="F76" s="11"/>
      <x:c r="G76" s="14" t="str">
        <x:f>IF(A76="","",IF(OR(A76&lt;DATE('13 Haftalık Plan'!$F$2,'13 Haftalık Plan'!$D$2,'13 Haftalık Plan'!$B$2),A76&gt;DATE('13 Haftalık Plan'!$F$2,'13 Haftalık Plan'!$D$2,'13 Haftalık Plan'!$B$2)+90),"Dışarıda",INT((A76-DATE('13 Haftalık Plan'!$F$2,'13 Haftalık Plan'!$D$2,'13 Haftalık Plan'!$B$2))/7)+1))</x:f>
      </x:c>
    </x:row>
    <x:row r="77">
      <x:c r="A77" s="15"/>
      <x:c r="B77" s="11"/>
      <x:c r="C77" s="11"/>
      <x:c r="D77" s="11"/>
      <x:c r="E77" s="16"/>
      <x:c r="F77" s="11"/>
      <x:c r="G77" s="14" t="str">
        <x:f>IF(A77="","",IF(OR(A77&lt;DATE('13 Haftalık Plan'!$F$2,'13 Haftalık Plan'!$D$2,'13 Haftalık Plan'!$B$2),A77&gt;DATE('13 Haftalık Plan'!$F$2,'13 Haftalık Plan'!$D$2,'13 Haftalık Plan'!$B$2)+90),"Dışarıda",INT((A77-DATE('13 Haftalık Plan'!$F$2,'13 Haftalık Plan'!$D$2,'13 Haftalık Plan'!$B$2))/7)+1))</x:f>
      </x:c>
    </x:row>
    <x:row r="78">
      <x:c r="A78" s="15"/>
      <x:c r="B78" s="11"/>
      <x:c r="C78" s="11"/>
      <x:c r="D78" s="11"/>
      <x:c r="E78" s="16"/>
      <x:c r="F78" s="11"/>
      <x:c r="G78" s="14" t="str">
        <x:f>IF(A78="","",IF(OR(A78&lt;DATE('13 Haftalık Plan'!$F$2,'13 Haftalık Plan'!$D$2,'13 Haftalık Plan'!$B$2),A78&gt;DATE('13 Haftalık Plan'!$F$2,'13 Haftalık Plan'!$D$2,'13 Haftalık Plan'!$B$2)+90),"Dışarıda",INT((A78-DATE('13 Haftalık Plan'!$F$2,'13 Haftalık Plan'!$D$2,'13 Haftalık Plan'!$B$2))/7)+1))</x:f>
      </x:c>
    </x:row>
    <x:row r="79">
      <x:c r="A79" s="15"/>
      <x:c r="B79" s="11"/>
      <x:c r="C79" s="11"/>
      <x:c r="D79" s="11"/>
      <x:c r="E79" s="16"/>
      <x:c r="F79" s="11"/>
      <x:c r="G79" s="14" t="str">
        <x:f>IF(A79="","",IF(OR(A79&lt;DATE('13 Haftalık Plan'!$F$2,'13 Haftalık Plan'!$D$2,'13 Haftalık Plan'!$B$2),A79&gt;DATE('13 Haftalık Plan'!$F$2,'13 Haftalık Plan'!$D$2,'13 Haftalık Plan'!$B$2)+90),"Dışarıda",INT((A79-DATE('13 Haftalık Plan'!$F$2,'13 Haftalık Plan'!$D$2,'13 Haftalık Plan'!$B$2))/7)+1))</x:f>
      </x:c>
    </x:row>
    <x:row r="80">
      <x:c r="A80" s="15"/>
      <x:c r="B80" s="11"/>
      <x:c r="C80" s="11"/>
      <x:c r="D80" s="11"/>
      <x:c r="E80" s="16"/>
      <x:c r="F80" s="11"/>
      <x:c r="G80" s="14" t="str">
        <x:f>IF(A80="","",IF(OR(A80&lt;DATE('13 Haftalık Plan'!$F$2,'13 Haftalık Plan'!$D$2,'13 Haftalık Plan'!$B$2),A80&gt;DATE('13 Haftalık Plan'!$F$2,'13 Haftalık Plan'!$D$2,'13 Haftalık Plan'!$B$2)+90),"Dışarıda",INT((A80-DATE('13 Haftalık Plan'!$F$2,'13 Haftalık Plan'!$D$2,'13 Haftalık Plan'!$B$2))/7)+1))</x:f>
      </x:c>
    </x:row>
    <x:row r="81">
      <x:c r="A81" s="15"/>
      <x:c r="B81" s="11"/>
      <x:c r="C81" s="11"/>
      <x:c r="D81" s="11"/>
      <x:c r="E81" s="16"/>
      <x:c r="F81" s="11"/>
      <x:c r="G81" s="14" t="str">
        <x:f>IF(A81="","",IF(OR(A81&lt;DATE('13 Haftalık Plan'!$F$2,'13 Haftalık Plan'!$D$2,'13 Haftalık Plan'!$B$2),A81&gt;DATE('13 Haftalık Plan'!$F$2,'13 Haftalık Plan'!$D$2,'13 Haftalık Plan'!$B$2)+90),"Dışarıda",INT((A81-DATE('13 Haftalık Plan'!$F$2,'13 Haftalık Plan'!$D$2,'13 Haftalık Plan'!$B$2))/7)+1))</x:f>
      </x:c>
    </x:row>
    <x:row r="82">
      <x:c r="A82" s="15"/>
      <x:c r="B82" s="11"/>
      <x:c r="C82" s="11"/>
      <x:c r="D82" s="11"/>
      <x:c r="E82" s="16"/>
      <x:c r="F82" s="11"/>
      <x:c r="G82" s="14" t="str">
        <x:f>IF(A82="","",IF(OR(A82&lt;DATE('13 Haftalık Plan'!$F$2,'13 Haftalık Plan'!$D$2,'13 Haftalık Plan'!$B$2),A82&gt;DATE('13 Haftalık Plan'!$F$2,'13 Haftalık Plan'!$D$2,'13 Haftalık Plan'!$B$2)+90),"Dışarıda",INT((A82-DATE('13 Haftalık Plan'!$F$2,'13 Haftalık Plan'!$D$2,'13 Haftalık Plan'!$B$2))/7)+1))</x:f>
      </x:c>
    </x:row>
    <x:row r="83">
      <x:c r="A83" s="15"/>
      <x:c r="B83" s="11"/>
      <x:c r="C83" s="11"/>
      <x:c r="D83" s="11"/>
      <x:c r="E83" s="16"/>
      <x:c r="F83" s="11"/>
      <x:c r="G83" s="14" t="str">
        <x:f>IF(A83="","",IF(OR(A83&lt;DATE('13 Haftalık Plan'!$F$2,'13 Haftalık Plan'!$D$2,'13 Haftalık Plan'!$B$2),A83&gt;DATE('13 Haftalık Plan'!$F$2,'13 Haftalık Plan'!$D$2,'13 Haftalık Plan'!$B$2)+90),"Dışarıda",INT((A83-DATE('13 Haftalık Plan'!$F$2,'13 Haftalık Plan'!$D$2,'13 Haftalık Plan'!$B$2))/7)+1))</x:f>
      </x:c>
    </x:row>
    <x:row r="84">
      <x:c r="A84" s="15"/>
      <x:c r="B84" s="11"/>
      <x:c r="C84" s="11"/>
      <x:c r="D84" s="11"/>
      <x:c r="E84" s="16"/>
      <x:c r="F84" s="11"/>
      <x:c r="G84" s="14" t="str">
        <x:f>IF(A84="","",IF(OR(A84&lt;DATE('13 Haftalık Plan'!$F$2,'13 Haftalık Plan'!$D$2,'13 Haftalık Plan'!$B$2),A84&gt;DATE('13 Haftalık Plan'!$F$2,'13 Haftalık Plan'!$D$2,'13 Haftalık Plan'!$B$2)+90),"Dışarıda",INT((A84-DATE('13 Haftalık Plan'!$F$2,'13 Haftalık Plan'!$D$2,'13 Haftalık Plan'!$B$2))/7)+1))</x:f>
      </x:c>
    </x:row>
    <x:row r="85">
      <x:c r="A85" s="15"/>
      <x:c r="B85" s="11"/>
      <x:c r="C85" s="11"/>
      <x:c r="D85" s="11"/>
      <x:c r="E85" s="16"/>
      <x:c r="F85" s="11"/>
      <x:c r="G85" s="14" t="str">
        <x:f>IF(A85="","",IF(OR(A85&lt;DATE('13 Haftalık Plan'!$F$2,'13 Haftalık Plan'!$D$2,'13 Haftalık Plan'!$B$2),A85&gt;DATE('13 Haftalık Plan'!$F$2,'13 Haftalık Plan'!$D$2,'13 Haftalık Plan'!$B$2)+90),"Dışarıda",INT((A85-DATE('13 Haftalık Plan'!$F$2,'13 Haftalık Plan'!$D$2,'13 Haftalık Plan'!$B$2))/7)+1))</x:f>
      </x:c>
    </x:row>
    <x:row r="86">
      <x:c r="A86" s="15"/>
      <x:c r="B86" s="11"/>
      <x:c r="C86" s="11"/>
      <x:c r="D86" s="11"/>
      <x:c r="E86" s="16"/>
      <x:c r="F86" s="11"/>
      <x:c r="G86" s="14" t="str">
        <x:f>IF(A86="","",IF(OR(A86&lt;DATE('13 Haftalık Plan'!$F$2,'13 Haftalık Plan'!$D$2,'13 Haftalık Plan'!$B$2),A86&gt;DATE('13 Haftalık Plan'!$F$2,'13 Haftalık Plan'!$D$2,'13 Haftalık Plan'!$B$2)+90),"Dışarıda",INT((A86-DATE('13 Haftalık Plan'!$F$2,'13 Haftalık Plan'!$D$2,'13 Haftalık Plan'!$B$2))/7)+1))</x:f>
      </x:c>
    </x:row>
    <x:row r="87">
      <x:c r="A87" s="15"/>
      <x:c r="B87" s="11"/>
      <x:c r="C87" s="11"/>
      <x:c r="D87" s="11"/>
      <x:c r="E87" s="16"/>
      <x:c r="F87" s="11"/>
      <x:c r="G87" s="14" t="str">
        <x:f>IF(A87="","",IF(OR(A87&lt;DATE('13 Haftalık Plan'!$F$2,'13 Haftalık Plan'!$D$2,'13 Haftalık Plan'!$B$2),A87&gt;DATE('13 Haftalık Plan'!$F$2,'13 Haftalık Plan'!$D$2,'13 Haftalık Plan'!$B$2)+90),"Dışarıda",INT((A87-DATE('13 Haftalık Plan'!$F$2,'13 Haftalık Plan'!$D$2,'13 Haftalık Plan'!$B$2))/7)+1))</x:f>
      </x:c>
    </x:row>
    <x:row r="88">
      <x:c r="A88" s="15"/>
      <x:c r="B88" s="11"/>
      <x:c r="C88" s="11"/>
      <x:c r="D88" s="11"/>
      <x:c r="E88" s="16"/>
      <x:c r="F88" s="11"/>
      <x:c r="G88" s="14" t="str">
        <x:f>IF(A88="","",IF(OR(A88&lt;DATE('13 Haftalık Plan'!$F$2,'13 Haftalık Plan'!$D$2,'13 Haftalık Plan'!$B$2),A88&gt;DATE('13 Haftalık Plan'!$F$2,'13 Haftalık Plan'!$D$2,'13 Haftalık Plan'!$B$2)+90),"Dışarıda",INT((A88-DATE('13 Haftalık Plan'!$F$2,'13 Haftalık Plan'!$D$2,'13 Haftalık Plan'!$B$2))/7)+1))</x:f>
      </x:c>
    </x:row>
    <x:row r="89">
      <x:c r="A89" s="15"/>
      <x:c r="B89" s="11"/>
      <x:c r="C89" s="11"/>
      <x:c r="D89" s="11"/>
      <x:c r="E89" s="16"/>
      <x:c r="F89" s="11"/>
      <x:c r="G89" s="14" t="str">
        <x:f>IF(A89="","",IF(OR(A89&lt;DATE('13 Haftalık Plan'!$F$2,'13 Haftalık Plan'!$D$2,'13 Haftalık Plan'!$B$2),A89&gt;DATE('13 Haftalık Plan'!$F$2,'13 Haftalık Plan'!$D$2,'13 Haftalık Plan'!$B$2)+90),"Dışarıda",INT((A89-DATE('13 Haftalık Plan'!$F$2,'13 Haftalık Plan'!$D$2,'13 Haftalık Plan'!$B$2))/7)+1))</x:f>
      </x:c>
    </x:row>
    <x:row r="90">
      <x:c r="A90" s="15"/>
      <x:c r="B90" s="11"/>
      <x:c r="C90" s="11"/>
      <x:c r="D90" s="11"/>
      <x:c r="E90" s="16"/>
      <x:c r="F90" s="11"/>
      <x:c r="G90" s="14" t="str">
        <x:f>IF(A90="","",IF(OR(A90&lt;DATE('13 Haftalık Plan'!$F$2,'13 Haftalık Plan'!$D$2,'13 Haftalık Plan'!$B$2),A90&gt;DATE('13 Haftalık Plan'!$F$2,'13 Haftalık Plan'!$D$2,'13 Haftalık Plan'!$B$2)+90),"Dışarıda",INT((A90-DATE('13 Haftalık Plan'!$F$2,'13 Haftalık Plan'!$D$2,'13 Haftalık Plan'!$B$2))/7)+1))</x:f>
      </x:c>
    </x:row>
    <x:row r="91">
      <x:c r="A91" s="15"/>
      <x:c r="B91" s="11"/>
      <x:c r="C91" s="11"/>
      <x:c r="D91" s="11"/>
      <x:c r="E91" s="16"/>
      <x:c r="F91" s="11"/>
      <x:c r="G91" s="14" t="str">
        <x:f>IF(A91="","",IF(OR(A91&lt;DATE('13 Haftalık Plan'!$F$2,'13 Haftalık Plan'!$D$2,'13 Haftalık Plan'!$B$2),A91&gt;DATE('13 Haftalık Plan'!$F$2,'13 Haftalık Plan'!$D$2,'13 Haftalık Plan'!$B$2)+90),"Dışarıda",INT((A91-DATE('13 Haftalık Plan'!$F$2,'13 Haftalık Plan'!$D$2,'13 Haftalık Plan'!$B$2))/7)+1))</x:f>
      </x:c>
    </x:row>
    <x:row r="92">
      <x:c r="A92" s="15"/>
      <x:c r="B92" s="11"/>
      <x:c r="C92" s="11"/>
      <x:c r="D92" s="11"/>
      <x:c r="E92" s="16"/>
      <x:c r="F92" s="11"/>
      <x:c r="G92" s="14" t="str">
        <x:f>IF(A92="","",IF(OR(A92&lt;DATE('13 Haftalık Plan'!$F$2,'13 Haftalık Plan'!$D$2,'13 Haftalık Plan'!$B$2),A92&gt;DATE('13 Haftalık Plan'!$F$2,'13 Haftalık Plan'!$D$2,'13 Haftalık Plan'!$B$2)+90),"Dışarıda",INT((A92-DATE('13 Haftalık Plan'!$F$2,'13 Haftalık Plan'!$D$2,'13 Haftalık Plan'!$B$2))/7)+1))</x:f>
      </x:c>
    </x:row>
    <x:row r="93">
      <x:c r="A93" s="15"/>
      <x:c r="B93" s="11"/>
      <x:c r="C93" s="11"/>
      <x:c r="D93" s="11"/>
      <x:c r="E93" s="16"/>
      <x:c r="F93" s="11"/>
      <x:c r="G93" s="14" t="str">
        <x:f>IF(A93="","",IF(OR(A93&lt;DATE('13 Haftalık Plan'!$F$2,'13 Haftalık Plan'!$D$2,'13 Haftalık Plan'!$B$2),A93&gt;DATE('13 Haftalık Plan'!$F$2,'13 Haftalık Plan'!$D$2,'13 Haftalık Plan'!$B$2)+90),"Dışarıda",INT((A93-DATE('13 Haftalık Plan'!$F$2,'13 Haftalık Plan'!$D$2,'13 Haftalık Plan'!$B$2))/7)+1))</x:f>
      </x:c>
    </x:row>
    <x:row r="94">
      <x:c r="A94" s="15"/>
      <x:c r="B94" s="11"/>
      <x:c r="C94" s="11"/>
      <x:c r="D94" s="11"/>
      <x:c r="E94" s="16"/>
      <x:c r="F94" s="11"/>
      <x:c r="G94" s="14" t="str">
        <x:f>IF(A94="","",IF(OR(A94&lt;DATE('13 Haftalık Plan'!$F$2,'13 Haftalık Plan'!$D$2,'13 Haftalık Plan'!$B$2),A94&gt;DATE('13 Haftalık Plan'!$F$2,'13 Haftalık Plan'!$D$2,'13 Haftalık Plan'!$B$2)+90),"Dışarıda",INT((A94-DATE('13 Haftalık Plan'!$F$2,'13 Haftalık Plan'!$D$2,'13 Haftalık Plan'!$B$2))/7)+1))</x:f>
      </x:c>
    </x:row>
    <x:row r="95">
      <x:c r="A95" s="15"/>
      <x:c r="B95" s="11"/>
      <x:c r="C95" s="11"/>
      <x:c r="D95" s="11"/>
      <x:c r="E95" s="16"/>
      <x:c r="F95" s="11"/>
      <x:c r="G95" s="14" t="str">
        <x:f>IF(A95="","",IF(OR(A95&lt;DATE('13 Haftalık Plan'!$F$2,'13 Haftalık Plan'!$D$2,'13 Haftalık Plan'!$B$2),A95&gt;DATE('13 Haftalık Plan'!$F$2,'13 Haftalık Plan'!$D$2,'13 Haftalık Plan'!$B$2)+90),"Dışarıda",INT((A95-DATE('13 Haftalık Plan'!$F$2,'13 Haftalık Plan'!$D$2,'13 Haftalık Plan'!$B$2))/7)+1))</x:f>
      </x:c>
    </x:row>
    <x:row r="96">
      <x:c r="A96" s="15"/>
      <x:c r="B96" s="11"/>
      <x:c r="C96" s="11"/>
      <x:c r="D96" s="11"/>
      <x:c r="E96" s="16"/>
      <x:c r="F96" s="11"/>
      <x:c r="G96" s="14" t="str">
        <x:f>IF(A96="","",IF(OR(A96&lt;DATE('13 Haftalık Plan'!$F$2,'13 Haftalık Plan'!$D$2,'13 Haftalık Plan'!$B$2),A96&gt;DATE('13 Haftalık Plan'!$F$2,'13 Haftalık Plan'!$D$2,'13 Haftalık Plan'!$B$2)+90),"Dışarıda",INT((A96-DATE('13 Haftalık Plan'!$F$2,'13 Haftalık Plan'!$D$2,'13 Haftalık Plan'!$B$2))/7)+1))</x:f>
      </x:c>
    </x:row>
    <x:row r="97">
      <x:c r="A97" s="15"/>
      <x:c r="B97" s="11"/>
      <x:c r="C97" s="11"/>
      <x:c r="D97" s="11"/>
      <x:c r="E97" s="16"/>
      <x:c r="F97" s="11"/>
      <x:c r="G97" s="14" t="str">
        <x:f>IF(A97="","",IF(OR(A97&lt;DATE('13 Haftalık Plan'!$F$2,'13 Haftalık Plan'!$D$2,'13 Haftalık Plan'!$B$2),A97&gt;DATE('13 Haftalık Plan'!$F$2,'13 Haftalık Plan'!$D$2,'13 Haftalık Plan'!$B$2)+90),"Dışarıda",INT((A97-DATE('13 Haftalık Plan'!$F$2,'13 Haftalık Plan'!$D$2,'13 Haftalık Plan'!$B$2))/7)+1))</x:f>
      </x:c>
    </x:row>
    <x:row r="98">
      <x:c r="A98" s="15"/>
      <x:c r="B98" s="11"/>
      <x:c r="C98" s="11"/>
      <x:c r="D98" s="11"/>
      <x:c r="E98" s="16"/>
      <x:c r="F98" s="11"/>
      <x:c r="G98" s="14" t="str">
        <x:f>IF(A98="","",IF(OR(A98&lt;DATE('13 Haftalık Plan'!$F$2,'13 Haftalık Plan'!$D$2,'13 Haftalık Plan'!$B$2),A98&gt;DATE('13 Haftalık Plan'!$F$2,'13 Haftalık Plan'!$D$2,'13 Haftalık Plan'!$B$2)+90),"Dışarıda",INT((A98-DATE('13 Haftalık Plan'!$F$2,'13 Haftalık Plan'!$D$2,'13 Haftalık Plan'!$B$2))/7)+1))</x:f>
      </x:c>
    </x:row>
    <x:row r="99">
      <x:c r="A99" s="15"/>
      <x:c r="B99" s="11"/>
      <x:c r="C99" s="11"/>
      <x:c r="D99" s="11"/>
      <x:c r="E99" s="16"/>
      <x:c r="F99" s="11"/>
      <x:c r="G99" s="14" t="str">
        <x:f>IF(A99="","",IF(OR(A99&lt;DATE('13 Haftalık Plan'!$F$2,'13 Haftalık Plan'!$D$2,'13 Haftalık Plan'!$B$2),A99&gt;DATE('13 Haftalık Plan'!$F$2,'13 Haftalık Plan'!$D$2,'13 Haftalık Plan'!$B$2)+90),"Dışarıda",INT((A99-DATE('13 Haftalık Plan'!$F$2,'13 Haftalık Plan'!$D$2,'13 Haftalık Plan'!$B$2))/7)+1))</x:f>
      </x:c>
    </x:row>
    <x:row r="100">
      <x:c r="A100" s="15"/>
      <x:c r="B100" s="11"/>
      <x:c r="C100" s="11"/>
      <x:c r="D100" s="11"/>
      <x:c r="E100" s="16"/>
      <x:c r="F100" s="11"/>
      <x:c r="G100" s="14" t="str">
        <x:f>IF(A100="","",IF(OR(A100&lt;DATE('13 Haftalık Plan'!$F$2,'13 Haftalık Plan'!$D$2,'13 Haftalık Plan'!$B$2),A100&gt;DATE('13 Haftalık Plan'!$F$2,'13 Haftalık Plan'!$D$2,'13 Haftalık Plan'!$B$2)+90),"Dışarıda",INT((A100-DATE('13 Haftalık Plan'!$F$2,'13 Haftalık Plan'!$D$2,'13 Haftalık Plan'!$B$2))/7)+1))</x:f>
      </x:c>
    </x:row>
    <x:row r="101">
      <x:c r="A101" s="15"/>
      <x:c r="B101" s="11"/>
      <x:c r="C101" s="11"/>
      <x:c r="D101" s="11"/>
      <x:c r="E101" s="16"/>
      <x:c r="F101" s="11"/>
      <x:c r="G101" s="14" t="str">
        <x:f>IF(A101="","",IF(OR(A101&lt;DATE('13 Haftalık Plan'!$F$2,'13 Haftalık Plan'!$D$2,'13 Haftalık Plan'!$B$2),A101&gt;DATE('13 Haftalık Plan'!$F$2,'13 Haftalık Plan'!$D$2,'13 Haftalık Plan'!$B$2)+90),"Dışarıda",INT((A101-DATE('13 Haftalık Plan'!$F$2,'13 Haftalık Plan'!$D$2,'13 Haftalık Plan'!$B$2))/7)+1))</x:f>
      </x:c>
    </x:row>
    <x:row r="102">
      <x:c r="A102" s="15"/>
      <x:c r="B102" s="11"/>
      <x:c r="C102" s="11"/>
      <x:c r="D102" s="11"/>
      <x:c r="E102" s="16"/>
      <x:c r="F102" s="11"/>
      <x:c r="G102" s="14" t="str">
        <x:f>IF(A102="","",IF(OR(A102&lt;DATE('13 Haftalık Plan'!$F$2,'13 Haftalık Plan'!$D$2,'13 Haftalık Plan'!$B$2),A102&gt;DATE('13 Haftalık Plan'!$F$2,'13 Haftalık Plan'!$D$2,'13 Haftalık Plan'!$B$2)+90),"Dışarıda",INT((A102-DATE('13 Haftalık Plan'!$F$2,'13 Haftalık Plan'!$D$2,'13 Haftalık Plan'!$B$2))/7)+1))</x:f>
      </x:c>
    </x:row>
    <x:row r="103">
      <x:c r="A103" s="15"/>
      <x:c r="B103" s="11"/>
      <x:c r="C103" s="11"/>
      <x:c r="D103" s="11"/>
      <x:c r="E103" s="16"/>
      <x:c r="F103" s="11"/>
      <x:c r="G103" s="14" t="str">
        <x:f>IF(A103="","",IF(OR(A103&lt;DATE('13 Haftalık Plan'!$F$2,'13 Haftalık Plan'!$D$2,'13 Haftalık Plan'!$B$2),A103&gt;DATE('13 Haftalık Plan'!$F$2,'13 Haftalık Plan'!$D$2,'13 Haftalık Plan'!$B$2)+90),"Dışarıda",INT((A103-DATE('13 Haftalık Plan'!$F$2,'13 Haftalık Plan'!$D$2,'13 Haftalık Plan'!$B$2))/7)+1))</x:f>
      </x:c>
    </x:row>
    <x:row r="104">
      <x:c r="A104" s="15"/>
      <x:c r="B104" s="11"/>
      <x:c r="C104" s="11"/>
      <x:c r="D104" s="11"/>
      <x:c r="E104" s="16"/>
      <x:c r="F104" s="11"/>
      <x:c r="G104" s="14" t="str">
        <x:f>IF(A104="","",IF(OR(A104&lt;DATE('13 Haftalık Plan'!$F$2,'13 Haftalık Plan'!$D$2,'13 Haftalık Plan'!$B$2),A104&gt;DATE('13 Haftalık Plan'!$F$2,'13 Haftalık Plan'!$D$2,'13 Haftalık Plan'!$B$2)+90),"Dışarıda",INT((A104-DATE('13 Haftalık Plan'!$F$2,'13 Haftalık Plan'!$D$2,'13 Haftalık Plan'!$B$2))/7)+1))</x:f>
      </x:c>
    </x:row>
    <x:row r="105">
      <x:c r="A105" s="15"/>
      <x:c r="B105" s="11"/>
      <x:c r="C105" s="11"/>
      <x:c r="D105" s="11"/>
      <x:c r="E105" s="16"/>
      <x:c r="F105" s="11"/>
      <x:c r="G105" s="14" t="str">
        <x:f>IF(A105="","",IF(OR(A105&lt;DATE('13 Haftalık Plan'!$F$2,'13 Haftalık Plan'!$D$2,'13 Haftalık Plan'!$B$2),A105&gt;DATE('13 Haftalık Plan'!$F$2,'13 Haftalık Plan'!$D$2,'13 Haftalık Plan'!$B$2)+90),"Dışarıda",INT((A105-DATE('13 Haftalık Plan'!$F$2,'13 Haftalık Plan'!$D$2,'13 Haftalık Plan'!$B$2))/7)+1))</x:f>
      </x:c>
    </x:row>
    <x:row r="106">
      <x:c r="A106" s="15"/>
      <x:c r="B106" s="11"/>
      <x:c r="C106" s="11"/>
      <x:c r="D106" s="11"/>
      <x:c r="E106" s="16"/>
      <x:c r="F106" s="11"/>
      <x:c r="G106" s="14" t="str">
        <x:f>IF(A106="","",IF(OR(A106&lt;DATE('13 Haftalık Plan'!$F$2,'13 Haftalık Plan'!$D$2,'13 Haftalık Plan'!$B$2),A106&gt;DATE('13 Haftalık Plan'!$F$2,'13 Haftalık Plan'!$D$2,'13 Haftalık Plan'!$B$2)+90),"Dışarıda",INT((A106-DATE('13 Haftalık Plan'!$F$2,'13 Haftalık Plan'!$D$2,'13 Haftalık Plan'!$B$2))/7)+1))</x:f>
      </x:c>
    </x:row>
    <x:row r="107">
      <x:c r="A107" s="15"/>
      <x:c r="B107" s="11"/>
      <x:c r="C107" s="11"/>
      <x:c r="D107" s="11"/>
      <x:c r="E107" s="16"/>
      <x:c r="F107" s="11"/>
      <x:c r="G107" s="14" t="str">
        <x:f>IF(A107="","",IF(OR(A107&lt;DATE('13 Haftalık Plan'!$F$2,'13 Haftalık Plan'!$D$2,'13 Haftalık Plan'!$B$2),A107&gt;DATE('13 Haftalık Plan'!$F$2,'13 Haftalık Plan'!$D$2,'13 Haftalık Plan'!$B$2)+90),"Dışarıda",INT((A107-DATE('13 Haftalık Plan'!$F$2,'13 Haftalık Plan'!$D$2,'13 Haftalık Plan'!$B$2))/7)+1))</x:f>
      </x:c>
    </x:row>
    <x:row r="108">
      <x:c r="A108" s="15"/>
      <x:c r="B108" s="11"/>
      <x:c r="C108" s="11"/>
      <x:c r="D108" s="11"/>
      <x:c r="E108" s="16"/>
      <x:c r="F108" s="11"/>
      <x:c r="G108" s="14" t="str">
        <x:f>IF(A108="","",IF(OR(A108&lt;DATE('13 Haftalık Plan'!$F$2,'13 Haftalık Plan'!$D$2,'13 Haftalık Plan'!$B$2),A108&gt;DATE('13 Haftalık Plan'!$F$2,'13 Haftalık Plan'!$D$2,'13 Haftalık Plan'!$B$2)+90),"Dışarıda",INT((A108-DATE('13 Haftalık Plan'!$F$2,'13 Haftalık Plan'!$D$2,'13 Haftalık Plan'!$B$2))/7)+1))</x:f>
      </x:c>
    </x:row>
    <x:row r="109">
      <x:c r="A109" s="15"/>
      <x:c r="B109" s="11"/>
      <x:c r="C109" s="11"/>
      <x:c r="D109" s="11"/>
      <x:c r="E109" s="16"/>
      <x:c r="F109" s="11"/>
      <x:c r="G109" s="14" t="str">
        <x:f>IF(A109="","",IF(OR(A109&lt;DATE('13 Haftalık Plan'!$F$2,'13 Haftalık Plan'!$D$2,'13 Haftalık Plan'!$B$2),A109&gt;DATE('13 Haftalık Plan'!$F$2,'13 Haftalık Plan'!$D$2,'13 Haftalık Plan'!$B$2)+90),"Dışarıda",INT((A109-DATE('13 Haftalık Plan'!$F$2,'13 Haftalık Plan'!$D$2,'13 Haftalık Plan'!$B$2))/7)+1))</x:f>
      </x:c>
    </x:row>
    <x:row r="110">
      <x:c r="A110" s="15"/>
      <x:c r="B110" s="11"/>
      <x:c r="C110" s="11"/>
      <x:c r="D110" s="11"/>
      <x:c r="E110" s="16"/>
      <x:c r="F110" s="11"/>
      <x:c r="G110" s="14" t="str">
        <x:f>IF(A110="","",IF(OR(A110&lt;DATE('13 Haftalık Plan'!$F$2,'13 Haftalık Plan'!$D$2,'13 Haftalık Plan'!$B$2),A110&gt;DATE('13 Haftalık Plan'!$F$2,'13 Haftalık Plan'!$D$2,'13 Haftalık Plan'!$B$2)+90),"Dışarıda",INT((A110-DATE('13 Haftalık Plan'!$F$2,'13 Haftalık Plan'!$D$2,'13 Haftalık Plan'!$B$2))/7)+1))</x:f>
      </x:c>
    </x:row>
    <x:row r="111">
      <x:c r="A111" s="15"/>
      <x:c r="B111" s="11"/>
      <x:c r="C111" s="11"/>
      <x:c r="D111" s="11"/>
      <x:c r="E111" s="16"/>
      <x:c r="F111" s="11"/>
      <x:c r="G111" s="14" t="str">
        <x:f>IF(A111="","",IF(OR(A111&lt;DATE('13 Haftalık Plan'!$F$2,'13 Haftalık Plan'!$D$2,'13 Haftalık Plan'!$B$2),A111&gt;DATE('13 Haftalık Plan'!$F$2,'13 Haftalık Plan'!$D$2,'13 Haftalık Plan'!$B$2)+90),"Dışarıda",INT((A111-DATE('13 Haftalık Plan'!$F$2,'13 Haftalık Plan'!$D$2,'13 Haftalık Plan'!$B$2))/7)+1))</x:f>
      </x:c>
    </x:row>
    <x:row r="112">
      <x:c r="A112" s="15"/>
      <x:c r="B112" s="11"/>
      <x:c r="C112" s="11"/>
      <x:c r="D112" s="11"/>
      <x:c r="E112" s="16"/>
      <x:c r="F112" s="11"/>
      <x:c r="G112" s="14" t="str">
        <x:f>IF(A112="","",IF(OR(A112&lt;DATE('13 Haftalık Plan'!$F$2,'13 Haftalık Plan'!$D$2,'13 Haftalık Plan'!$B$2),A112&gt;DATE('13 Haftalık Plan'!$F$2,'13 Haftalık Plan'!$D$2,'13 Haftalık Plan'!$B$2)+90),"Dışarıda",INT((A112-DATE('13 Haftalık Plan'!$F$2,'13 Haftalık Plan'!$D$2,'13 Haftalık Plan'!$B$2))/7)+1))</x:f>
      </x:c>
    </x:row>
    <x:row r="113">
      <x:c r="A113" s="15"/>
      <x:c r="B113" s="11"/>
      <x:c r="C113" s="11"/>
      <x:c r="D113" s="11"/>
      <x:c r="E113" s="16"/>
      <x:c r="F113" s="11"/>
      <x:c r="G113" s="14" t="str">
        <x:f>IF(A113="","",IF(OR(A113&lt;DATE('13 Haftalık Plan'!$F$2,'13 Haftalık Plan'!$D$2,'13 Haftalık Plan'!$B$2),A113&gt;DATE('13 Haftalık Plan'!$F$2,'13 Haftalık Plan'!$D$2,'13 Haftalık Plan'!$B$2)+90),"Dışarıda",INT((A113-DATE('13 Haftalık Plan'!$F$2,'13 Haftalık Plan'!$D$2,'13 Haftalık Plan'!$B$2))/7)+1))</x:f>
      </x:c>
    </x:row>
    <x:row r="114">
      <x:c r="A114" s="15"/>
      <x:c r="B114" s="11"/>
      <x:c r="C114" s="11"/>
      <x:c r="D114" s="11"/>
      <x:c r="E114" s="16"/>
      <x:c r="F114" s="11"/>
      <x:c r="G114" s="14" t="str">
        <x:f>IF(A114="","",IF(OR(A114&lt;DATE('13 Haftalık Plan'!$F$2,'13 Haftalık Plan'!$D$2,'13 Haftalık Plan'!$B$2),A114&gt;DATE('13 Haftalık Plan'!$F$2,'13 Haftalık Plan'!$D$2,'13 Haftalık Plan'!$B$2)+90),"Dışarıda",INT((A114-DATE('13 Haftalık Plan'!$F$2,'13 Haftalık Plan'!$D$2,'13 Haftalık Plan'!$B$2))/7)+1))</x:f>
      </x:c>
    </x:row>
    <x:row r="115">
      <x:c r="A115" s="15"/>
      <x:c r="B115" s="11"/>
      <x:c r="C115" s="11"/>
      <x:c r="D115" s="11"/>
      <x:c r="E115" s="16"/>
      <x:c r="F115" s="11"/>
      <x:c r="G115" s="14" t="str">
        <x:f>IF(A115="","",IF(OR(A115&lt;DATE('13 Haftalık Plan'!$F$2,'13 Haftalık Plan'!$D$2,'13 Haftalık Plan'!$B$2),A115&gt;DATE('13 Haftalık Plan'!$F$2,'13 Haftalık Plan'!$D$2,'13 Haftalık Plan'!$B$2)+90),"Dışarıda",INT((A115-DATE('13 Haftalık Plan'!$F$2,'13 Haftalık Plan'!$D$2,'13 Haftalık Plan'!$B$2))/7)+1))</x:f>
      </x:c>
    </x:row>
    <x:row r="116">
      <x:c r="A116" s="15"/>
      <x:c r="B116" s="11"/>
      <x:c r="C116" s="11"/>
      <x:c r="D116" s="11"/>
      <x:c r="E116" s="16"/>
      <x:c r="F116" s="11"/>
      <x:c r="G116" s="14" t="str">
        <x:f>IF(A116="","",IF(OR(A116&lt;DATE('13 Haftalık Plan'!$F$2,'13 Haftalık Plan'!$D$2,'13 Haftalık Plan'!$B$2),A116&gt;DATE('13 Haftalık Plan'!$F$2,'13 Haftalık Plan'!$D$2,'13 Haftalık Plan'!$B$2)+90),"Dışarıda",INT((A116-DATE('13 Haftalık Plan'!$F$2,'13 Haftalık Plan'!$D$2,'13 Haftalık Plan'!$B$2))/7)+1))</x:f>
      </x:c>
    </x:row>
    <x:row r="117">
      <x:c r="A117" s="15"/>
      <x:c r="B117" s="11"/>
      <x:c r="C117" s="11"/>
      <x:c r="D117" s="11"/>
      <x:c r="E117" s="16"/>
      <x:c r="F117" s="11"/>
      <x:c r="G117" s="14" t="str">
        <x:f>IF(A117="","",IF(OR(A117&lt;DATE('13 Haftalık Plan'!$F$2,'13 Haftalık Plan'!$D$2,'13 Haftalık Plan'!$B$2),A117&gt;DATE('13 Haftalık Plan'!$F$2,'13 Haftalık Plan'!$D$2,'13 Haftalık Plan'!$B$2)+90),"Dışarıda",INT((A117-DATE('13 Haftalık Plan'!$F$2,'13 Haftalık Plan'!$D$2,'13 Haftalık Plan'!$B$2))/7)+1))</x:f>
      </x:c>
    </x:row>
    <x:row r="118">
      <x:c r="A118" s="15"/>
      <x:c r="B118" s="11"/>
      <x:c r="C118" s="11"/>
      <x:c r="D118" s="11"/>
      <x:c r="E118" s="16"/>
      <x:c r="F118" s="11"/>
      <x:c r="G118" s="14" t="str">
        <x:f>IF(A118="","",IF(OR(A118&lt;DATE('13 Haftalık Plan'!$F$2,'13 Haftalık Plan'!$D$2,'13 Haftalık Plan'!$B$2),A118&gt;DATE('13 Haftalık Plan'!$F$2,'13 Haftalık Plan'!$D$2,'13 Haftalık Plan'!$B$2)+90),"Dışarıda",INT((A118-DATE('13 Haftalık Plan'!$F$2,'13 Haftalık Plan'!$D$2,'13 Haftalık Plan'!$B$2))/7)+1))</x:f>
      </x:c>
    </x:row>
    <x:row r="119">
      <x:c r="A119" s="15"/>
      <x:c r="B119" s="11"/>
      <x:c r="C119" s="11"/>
      <x:c r="D119" s="11"/>
      <x:c r="E119" s="16"/>
      <x:c r="F119" s="11"/>
      <x:c r="G119" s="14" t="str">
        <x:f>IF(A119="","",IF(OR(A119&lt;DATE('13 Haftalık Plan'!$F$2,'13 Haftalık Plan'!$D$2,'13 Haftalık Plan'!$B$2),A119&gt;DATE('13 Haftalık Plan'!$F$2,'13 Haftalık Plan'!$D$2,'13 Haftalık Plan'!$B$2)+90),"Dışarıda",INT((A119-DATE('13 Haftalık Plan'!$F$2,'13 Haftalık Plan'!$D$2,'13 Haftalık Plan'!$B$2))/7)+1))</x:f>
      </x:c>
    </x:row>
    <x:row r="120">
      <x:c r="A120" s="15"/>
      <x:c r="B120" s="11"/>
      <x:c r="C120" s="11"/>
      <x:c r="D120" s="11"/>
      <x:c r="E120" s="16"/>
      <x:c r="F120" s="11"/>
      <x:c r="G120" s="14" t="str">
        <x:f>IF(A120="","",IF(OR(A120&lt;DATE('13 Haftalık Plan'!$F$2,'13 Haftalık Plan'!$D$2,'13 Haftalık Plan'!$B$2),A120&gt;DATE('13 Haftalık Plan'!$F$2,'13 Haftalık Plan'!$D$2,'13 Haftalık Plan'!$B$2)+90),"Dışarıda",INT((A120-DATE('13 Haftalık Plan'!$F$2,'13 Haftalık Plan'!$D$2,'13 Haftalık Plan'!$B$2))/7)+1))</x:f>
      </x:c>
    </x:row>
    <x:row r="121">
      <x:c r="A121" s="15"/>
      <x:c r="B121" s="11"/>
      <x:c r="C121" s="11"/>
      <x:c r="D121" s="11"/>
      <x:c r="E121" s="16"/>
      <x:c r="F121" s="11"/>
      <x:c r="G121" s="14" t="str">
        <x:f>IF(A121="","",IF(OR(A121&lt;DATE('13 Haftalık Plan'!$F$2,'13 Haftalık Plan'!$D$2,'13 Haftalık Plan'!$B$2),A121&gt;DATE('13 Haftalık Plan'!$F$2,'13 Haftalık Plan'!$D$2,'13 Haftalık Plan'!$B$2)+90),"Dışarıda",INT((A121-DATE('13 Haftalık Plan'!$F$2,'13 Haftalık Plan'!$D$2,'13 Haftalık Plan'!$B$2))/7)+1))</x:f>
      </x:c>
    </x:row>
    <x:row r="122">
      <x:c r="A122" s="15"/>
      <x:c r="B122" s="11"/>
      <x:c r="C122" s="11"/>
      <x:c r="D122" s="11"/>
      <x:c r="E122" s="16"/>
      <x:c r="F122" s="11"/>
      <x:c r="G122" s="14" t="str">
        <x:f>IF(A122="","",IF(OR(A122&lt;DATE('13 Haftalık Plan'!$F$2,'13 Haftalık Plan'!$D$2,'13 Haftalık Plan'!$B$2),A122&gt;DATE('13 Haftalık Plan'!$F$2,'13 Haftalık Plan'!$D$2,'13 Haftalık Plan'!$B$2)+90),"Dışarıda",INT((A122-DATE('13 Haftalık Plan'!$F$2,'13 Haftalık Plan'!$D$2,'13 Haftalık Plan'!$B$2))/7)+1))</x:f>
      </x:c>
    </x:row>
    <x:row r="123">
      <x:c r="A123" s="15"/>
      <x:c r="B123" s="11"/>
      <x:c r="C123" s="11"/>
      <x:c r="D123" s="11"/>
      <x:c r="E123" s="16"/>
      <x:c r="F123" s="11"/>
      <x:c r="G123" s="14" t="str">
        <x:f>IF(A123="","",IF(OR(A123&lt;DATE('13 Haftalık Plan'!$F$2,'13 Haftalık Plan'!$D$2,'13 Haftalık Plan'!$B$2),A123&gt;DATE('13 Haftalık Plan'!$F$2,'13 Haftalık Plan'!$D$2,'13 Haftalık Plan'!$B$2)+90),"Dışarıda",INT((A123-DATE('13 Haftalık Plan'!$F$2,'13 Haftalık Plan'!$D$2,'13 Haftalık Plan'!$B$2))/7)+1))</x:f>
      </x:c>
    </x:row>
    <x:row r="124">
      <x:c r="A124" s="15"/>
      <x:c r="B124" s="11"/>
      <x:c r="C124" s="11"/>
      <x:c r="D124" s="11"/>
      <x:c r="E124" s="16"/>
      <x:c r="F124" s="11"/>
      <x:c r="G124" s="14" t="str">
        <x:f>IF(A124="","",IF(OR(A124&lt;DATE('13 Haftalık Plan'!$F$2,'13 Haftalık Plan'!$D$2,'13 Haftalık Plan'!$B$2),A124&gt;DATE('13 Haftalık Plan'!$F$2,'13 Haftalık Plan'!$D$2,'13 Haftalık Plan'!$B$2)+90),"Dışarıda",INT((A124-DATE('13 Haftalık Plan'!$F$2,'13 Haftalık Plan'!$D$2,'13 Haftalık Plan'!$B$2))/7)+1))</x:f>
      </x:c>
    </x:row>
    <x:row r="125">
      <x:c r="A125" s="15"/>
      <x:c r="B125" s="11"/>
      <x:c r="C125" s="11"/>
      <x:c r="D125" s="11"/>
      <x:c r="E125" s="16"/>
      <x:c r="F125" s="11"/>
      <x:c r="G125" s="14" t="str">
        <x:f>IF(A125="","",IF(OR(A125&lt;DATE('13 Haftalık Plan'!$F$2,'13 Haftalık Plan'!$D$2,'13 Haftalık Plan'!$B$2),A125&gt;DATE('13 Haftalık Plan'!$F$2,'13 Haftalık Plan'!$D$2,'13 Haftalık Plan'!$B$2)+90),"Dışarıda",INT((A125-DATE('13 Haftalık Plan'!$F$2,'13 Haftalık Plan'!$D$2,'13 Haftalık Plan'!$B$2))/7)+1))</x:f>
      </x:c>
    </x:row>
    <x:row r="126">
      <x:c r="A126" s="15"/>
      <x:c r="B126" s="11"/>
      <x:c r="C126" s="11"/>
      <x:c r="D126" s="11"/>
      <x:c r="E126" s="16"/>
      <x:c r="F126" s="11"/>
      <x:c r="G126" s="14" t="str">
        <x:f>IF(A126="","",IF(OR(A126&lt;DATE('13 Haftalık Plan'!$F$2,'13 Haftalık Plan'!$D$2,'13 Haftalık Plan'!$B$2),A126&gt;DATE('13 Haftalık Plan'!$F$2,'13 Haftalık Plan'!$D$2,'13 Haftalık Plan'!$B$2)+90),"Dışarıda",INT((A126-DATE('13 Haftalık Plan'!$F$2,'13 Haftalık Plan'!$D$2,'13 Haftalık Plan'!$B$2))/7)+1))</x:f>
      </x:c>
    </x:row>
    <x:row r="127">
      <x:c r="A127" s="15"/>
      <x:c r="B127" s="11"/>
      <x:c r="C127" s="11"/>
      <x:c r="D127" s="11"/>
      <x:c r="E127" s="16"/>
      <x:c r="F127" s="11"/>
      <x:c r="G127" s="14" t="str">
        <x:f>IF(A127="","",IF(OR(A127&lt;DATE('13 Haftalık Plan'!$F$2,'13 Haftalık Plan'!$D$2,'13 Haftalık Plan'!$B$2),A127&gt;DATE('13 Haftalık Plan'!$F$2,'13 Haftalık Plan'!$D$2,'13 Haftalık Plan'!$B$2)+90),"Dışarıda",INT((A127-DATE('13 Haftalık Plan'!$F$2,'13 Haftalık Plan'!$D$2,'13 Haftalık Plan'!$B$2))/7)+1))</x:f>
      </x:c>
    </x:row>
    <x:row r="128">
      <x:c r="A128" s="15"/>
      <x:c r="B128" s="11"/>
      <x:c r="C128" s="11"/>
      <x:c r="D128" s="11"/>
      <x:c r="E128" s="16"/>
      <x:c r="F128" s="11"/>
      <x:c r="G128" s="14" t="str">
        <x:f>IF(A128="","",IF(OR(A128&lt;DATE('13 Haftalık Plan'!$F$2,'13 Haftalık Plan'!$D$2,'13 Haftalık Plan'!$B$2),A128&gt;DATE('13 Haftalık Plan'!$F$2,'13 Haftalık Plan'!$D$2,'13 Haftalık Plan'!$B$2)+90),"Dışarıda",INT((A128-DATE('13 Haftalık Plan'!$F$2,'13 Haftalık Plan'!$D$2,'13 Haftalık Plan'!$B$2))/7)+1))</x:f>
      </x:c>
    </x:row>
    <x:row r="129">
      <x:c r="A129" s="15"/>
      <x:c r="B129" s="11"/>
      <x:c r="C129" s="11"/>
      <x:c r="D129" s="11"/>
      <x:c r="E129" s="16"/>
      <x:c r="F129" s="11"/>
      <x:c r="G129" s="14" t="str">
        <x:f>IF(A129="","",IF(OR(A129&lt;DATE('13 Haftalık Plan'!$F$2,'13 Haftalık Plan'!$D$2,'13 Haftalık Plan'!$B$2),A129&gt;DATE('13 Haftalık Plan'!$F$2,'13 Haftalık Plan'!$D$2,'13 Haftalık Plan'!$B$2)+90),"Dışarıda",INT((A129-DATE('13 Haftalık Plan'!$F$2,'13 Haftalık Plan'!$D$2,'13 Haftalık Plan'!$B$2))/7)+1))</x:f>
      </x:c>
    </x:row>
    <x:row r="130">
      <x:c r="A130" s="15"/>
      <x:c r="B130" s="11"/>
      <x:c r="C130" s="11"/>
      <x:c r="D130" s="11"/>
      <x:c r="E130" s="16"/>
      <x:c r="F130" s="11"/>
      <x:c r="G130" s="14" t="str">
        <x:f>IF(A130="","",IF(OR(A130&lt;DATE('13 Haftalık Plan'!$F$2,'13 Haftalık Plan'!$D$2,'13 Haftalık Plan'!$B$2),A130&gt;DATE('13 Haftalık Plan'!$F$2,'13 Haftalık Plan'!$D$2,'13 Haftalık Plan'!$B$2)+90),"Dışarıda",INT((A130-DATE('13 Haftalık Plan'!$F$2,'13 Haftalık Plan'!$D$2,'13 Haftalık Plan'!$B$2))/7)+1))</x:f>
      </x:c>
    </x:row>
    <x:row r="131">
      <x:c r="A131" s="15"/>
      <x:c r="B131" s="11"/>
      <x:c r="C131" s="11"/>
      <x:c r="D131" s="11"/>
      <x:c r="E131" s="16"/>
      <x:c r="F131" s="11"/>
      <x:c r="G131" s="14" t="str">
        <x:f>IF(A131="","",IF(OR(A131&lt;DATE('13 Haftalık Plan'!$F$2,'13 Haftalık Plan'!$D$2,'13 Haftalık Plan'!$B$2),A131&gt;DATE('13 Haftalık Plan'!$F$2,'13 Haftalık Plan'!$D$2,'13 Haftalık Plan'!$B$2)+90),"Dışarıda",INT((A131-DATE('13 Haftalık Plan'!$F$2,'13 Haftalık Plan'!$D$2,'13 Haftalık Plan'!$B$2))/7)+1))</x:f>
      </x:c>
    </x:row>
    <x:row r="132">
      <x:c r="A132" s="15"/>
      <x:c r="B132" s="11"/>
      <x:c r="C132" s="11"/>
      <x:c r="D132" s="11"/>
      <x:c r="E132" s="16"/>
      <x:c r="F132" s="11"/>
      <x:c r="G132" s="14" t="str">
        <x:f>IF(A132="","",IF(OR(A132&lt;DATE('13 Haftalık Plan'!$F$2,'13 Haftalık Plan'!$D$2,'13 Haftalık Plan'!$B$2),A132&gt;DATE('13 Haftalık Plan'!$F$2,'13 Haftalık Plan'!$D$2,'13 Haftalık Plan'!$B$2)+90),"Dışarıda",INT((A132-DATE('13 Haftalık Plan'!$F$2,'13 Haftalık Plan'!$D$2,'13 Haftalık Plan'!$B$2))/7)+1))</x:f>
      </x:c>
    </x:row>
    <x:row r="133">
      <x:c r="A133" s="15"/>
      <x:c r="B133" s="11"/>
      <x:c r="C133" s="11"/>
      <x:c r="D133" s="11"/>
      <x:c r="E133" s="16"/>
      <x:c r="F133" s="11"/>
      <x:c r="G133" s="14" t="str">
        <x:f>IF(A133="","",IF(OR(A133&lt;DATE('13 Haftalık Plan'!$F$2,'13 Haftalık Plan'!$D$2,'13 Haftalık Plan'!$B$2),A133&gt;DATE('13 Haftalık Plan'!$F$2,'13 Haftalık Plan'!$D$2,'13 Haftalık Plan'!$B$2)+90),"Dışarıda",INT((A133-DATE('13 Haftalık Plan'!$F$2,'13 Haftalık Plan'!$D$2,'13 Haftalık Plan'!$B$2))/7)+1))</x:f>
      </x:c>
    </x:row>
    <x:row r="134">
      <x:c r="A134" s="15"/>
      <x:c r="B134" s="11"/>
      <x:c r="C134" s="11"/>
      <x:c r="D134" s="11"/>
      <x:c r="E134" s="16"/>
      <x:c r="F134" s="11"/>
      <x:c r="G134" s="14" t="str">
        <x:f>IF(A134="","",IF(OR(A134&lt;DATE('13 Haftalık Plan'!$F$2,'13 Haftalık Plan'!$D$2,'13 Haftalık Plan'!$B$2),A134&gt;DATE('13 Haftalık Plan'!$F$2,'13 Haftalık Plan'!$D$2,'13 Haftalık Plan'!$B$2)+90),"Dışarıda",INT((A134-DATE('13 Haftalık Plan'!$F$2,'13 Haftalık Plan'!$D$2,'13 Haftalık Plan'!$B$2))/7)+1))</x:f>
      </x:c>
    </x:row>
    <x:row r="135">
      <x:c r="A135" s="15"/>
      <x:c r="B135" s="11"/>
      <x:c r="C135" s="11"/>
      <x:c r="D135" s="11"/>
      <x:c r="E135" s="16"/>
      <x:c r="F135" s="11"/>
      <x:c r="G135" s="14" t="str">
        <x:f>IF(A135="","",IF(OR(A135&lt;DATE('13 Haftalık Plan'!$F$2,'13 Haftalık Plan'!$D$2,'13 Haftalık Plan'!$B$2),A135&gt;DATE('13 Haftalık Plan'!$F$2,'13 Haftalık Plan'!$D$2,'13 Haftalık Plan'!$B$2)+90),"Dışarıda",INT((A135-DATE('13 Haftalık Plan'!$F$2,'13 Haftalık Plan'!$D$2,'13 Haftalık Plan'!$B$2))/7)+1))</x:f>
      </x:c>
    </x:row>
    <x:row r="136">
      <x:c r="A136" s="15"/>
      <x:c r="B136" s="11"/>
      <x:c r="C136" s="11"/>
      <x:c r="D136" s="11"/>
      <x:c r="E136" s="16"/>
      <x:c r="F136" s="11"/>
      <x:c r="G136" s="14" t="str">
        <x:f>IF(A136="","",IF(OR(A136&lt;DATE('13 Haftalık Plan'!$F$2,'13 Haftalık Plan'!$D$2,'13 Haftalık Plan'!$B$2),A136&gt;DATE('13 Haftalık Plan'!$F$2,'13 Haftalık Plan'!$D$2,'13 Haftalık Plan'!$B$2)+90),"Dışarıda",INT((A136-DATE('13 Haftalık Plan'!$F$2,'13 Haftalık Plan'!$D$2,'13 Haftalık Plan'!$B$2))/7)+1))</x:f>
      </x:c>
    </x:row>
    <x:row r="137">
      <x:c r="A137" s="15"/>
      <x:c r="B137" s="11"/>
      <x:c r="C137" s="11"/>
      <x:c r="D137" s="11"/>
      <x:c r="E137" s="16"/>
      <x:c r="F137" s="11"/>
      <x:c r="G137" s="14" t="str">
        <x:f>IF(A137="","",IF(OR(A137&lt;DATE('13 Haftalık Plan'!$F$2,'13 Haftalık Plan'!$D$2,'13 Haftalık Plan'!$B$2),A137&gt;DATE('13 Haftalık Plan'!$F$2,'13 Haftalık Plan'!$D$2,'13 Haftalık Plan'!$B$2)+90),"Dışarıda",INT((A137-DATE('13 Haftalık Plan'!$F$2,'13 Haftalık Plan'!$D$2,'13 Haftalık Plan'!$B$2))/7)+1))</x:f>
      </x:c>
    </x:row>
    <x:row r="138">
      <x:c r="A138" s="15"/>
      <x:c r="B138" s="11"/>
      <x:c r="C138" s="11"/>
      <x:c r="D138" s="11"/>
      <x:c r="E138" s="16"/>
      <x:c r="F138" s="11"/>
      <x:c r="G138" s="14" t="str">
        <x:f>IF(A138="","",IF(OR(A138&lt;DATE('13 Haftalık Plan'!$F$2,'13 Haftalık Plan'!$D$2,'13 Haftalık Plan'!$B$2),A138&gt;DATE('13 Haftalık Plan'!$F$2,'13 Haftalık Plan'!$D$2,'13 Haftalık Plan'!$B$2)+90),"Dışarıda",INT((A138-DATE('13 Haftalık Plan'!$F$2,'13 Haftalık Plan'!$D$2,'13 Haftalık Plan'!$B$2))/7)+1))</x:f>
      </x:c>
    </x:row>
    <x:row r="139">
      <x:c r="A139" s="15"/>
      <x:c r="B139" s="11"/>
      <x:c r="C139" s="11"/>
      <x:c r="D139" s="11"/>
      <x:c r="E139" s="16"/>
      <x:c r="F139" s="11"/>
      <x:c r="G139" s="14" t="str">
        <x:f>IF(A139="","",IF(OR(A139&lt;DATE('13 Haftalık Plan'!$F$2,'13 Haftalık Plan'!$D$2,'13 Haftalık Plan'!$B$2),A139&gt;DATE('13 Haftalık Plan'!$F$2,'13 Haftalık Plan'!$D$2,'13 Haftalık Plan'!$B$2)+90),"Dışarıda",INT((A139-DATE('13 Haftalık Plan'!$F$2,'13 Haftalık Plan'!$D$2,'13 Haftalık Plan'!$B$2))/7)+1))</x:f>
      </x:c>
    </x:row>
    <x:row r="140">
      <x:c r="A140" s="15"/>
      <x:c r="B140" s="11"/>
      <x:c r="C140" s="11"/>
      <x:c r="D140" s="11"/>
      <x:c r="E140" s="16"/>
      <x:c r="F140" s="11"/>
      <x:c r="G140" s="14" t="str">
        <x:f>IF(A140="","",IF(OR(A140&lt;DATE('13 Haftalık Plan'!$F$2,'13 Haftalık Plan'!$D$2,'13 Haftalık Plan'!$B$2),A140&gt;DATE('13 Haftalık Plan'!$F$2,'13 Haftalık Plan'!$D$2,'13 Haftalık Plan'!$B$2)+90),"Dışarıda",INT((A140-DATE('13 Haftalık Plan'!$F$2,'13 Haftalık Plan'!$D$2,'13 Haftalık Plan'!$B$2))/7)+1))</x:f>
      </x:c>
    </x:row>
    <x:row r="141">
      <x:c r="A141" s="15"/>
      <x:c r="B141" s="11"/>
      <x:c r="C141" s="11"/>
      <x:c r="D141" s="11"/>
      <x:c r="E141" s="16"/>
      <x:c r="F141" s="11"/>
      <x:c r="G141" s="14" t="str">
        <x:f>IF(A141="","",IF(OR(A141&lt;DATE('13 Haftalık Plan'!$F$2,'13 Haftalık Plan'!$D$2,'13 Haftalık Plan'!$B$2),A141&gt;DATE('13 Haftalık Plan'!$F$2,'13 Haftalık Plan'!$D$2,'13 Haftalık Plan'!$B$2)+90),"Dışarıda",INT((A141-DATE('13 Haftalık Plan'!$F$2,'13 Haftalık Plan'!$D$2,'13 Haftalık Plan'!$B$2))/7)+1))</x:f>
      </x:c>
    </x:row>
    <x:row r="142">
      <x:c r="A142" s="15"/>
      <x:c r="B142" s="11"/>
      <x:c r="C142" s="11"/>
      <x:c r="D142" s="11"/>
      <x:c r="E142" s="16"/>
      <x:c r="F142" s="11"/>
      <x:c r="G142" s="14" t="str">
        <x:f>IF(A142="","",IF(OR(A142&lt;DATE('13 Haftalık Plan'!$F$2,'13 Haftalık Plan'!$D$2,'13 Haftalık Plan'!$B$2),A142&gt;DATE('13 Haftalık Plan'!$F$2,'13 Haftalık Plan'!$D$2,'13 Haftalık Plan'!$B$2)+90),"Dışarıda",INT((A142-DATE('13 Haftalık Plan'!$F$2,'13 Haftalık Plan'!$D$2,'13 Haftalık Plan'!$B$2))/7)+1))</x:f>
      </x:c>
    </x:row>
    <x:row r="143">
      <x:c r="A143" s="15"/>
      <x:c r="B143" s="11"/>
      <x:c r="C143" s="11"/>
      <x:c r="D143" s="11"/>
      <x:c r="E143" s="16"/>
      <x:c r="F143" s="11"/>
      <x:c r="G143" s="14" t="str">
        <x:f>IF(A143="","",IF(OR(A143&lt;DATE('13 Haftalık Plan'!$F$2,'13 Haftalık Plan'!$D$2,'13 Haftalık Plan'!$B$2),A143&gt;DATE('13 Haftalık Plan'!$F$2,'13 Haftalık Plan'!$D$2,'13 Haftalık Plan'!$B$2)+90),"Dışarıda",INT((A143-DATE('13 Haftalık Plan'!$F$2,'13 Haftalık Plan'!$D$2,'13 Haftalık Plan'!$B$2))/7)+1))</x:f>
      </x:c>
    </x:row>
    <x:row r="144">
      <x:c r="A144" s="15"/>
      <x:c r="B144" s="11"/>
      <x:c r="C144" s="11"/>
      <x:c r="D144" s="11"/>
      <x:c r="E144" s="16"/>
      <x:c r="F144" s="11"/>
      <x:c r="G144" s="14" t="str">
        <x:f>IF(A144="","",IF(OR(A144&lt;DATE('13 Haftalık Plan'!$F$2,'13 Haftalık Plan'!$D$2,'13 Haftalık Plan'!$B$2),A144&gt;DATE('13 Haftalık Plan'!$F$2,'13 Haftalık Plan'!$D$2,'13 Haftalık Plan'!$B$2)+90),"Dışarıda",INT((A144-DATE('13 Haftalık Plan'!$F$2,'13 Haftalık Plan'!$D$2,'13 Haftalık Plan'!$B$2))/7)+1))</x:f>
      </x:c>
    </x:row>
    <x:row r="145">
      <x:c r="A145" s="15"/>
      <x:c r="B145" s="11"/>
      <x:c r="C145" s="11"/>
      <x:c r="D145" s="11"/>
      <x:c r="E145" s="16"/>
      <x:c r="F145" s="11"/>
      <x:c r="G145" s="14" t="str">
        <x:f>IF(A145="","",IF(OR(A145&lt;DATE('13 Haftalık Plan'!$F$2,'13 Haftalık Plan'!$D$2,'13 Haftalık Plan'!$B$2),A145&gt;DATE('13 Haftalık Plan'!$F$2,'13 Haftalık Plan'!$D$2,'13 Haftalık Plan'!$B$2)+90),"Dışarıda",INT((A145-DATE('13 Haftalık Plan'!$F$2,'13 Haftalık Plan'!$D$2,'13 Haftalık Plan'!$B$2))/7)+1))</x:f>
      </x:c>
    </x:row>
    <x:row r="146">
      <x:c r="A146" s="15"/>
      <x:c r="B146" s="11"/>
      <x:c r="C146" s="11"/>
      <x:c r="D146" s="11"/>
      <x:c r="E146" s="16"/>
      <x:c r="F146" s="11"/>
      <x:c r="G146" s="14" t="str">
        <x:f>IF(A146="","",IF(OR(A146&lt;DATE('13 Haftalık Plan'!$F$2,'13 Haftalık Plan'!$D$2,'13 Haftalık Plan'!$B$2),A146&gt;DATE('13 Haftalık Plan'!$F$2,'13 Haftalık Plan'!$D$2,'13 Haftalık Plan'!$B$2)+90),"Dışarıda",INT((A146-DATE('13 Haftalık Plan'!$F$2,'13 Haftalık Plan'!$D$2,'13 Haftalık Plan'!$B$2))/7)+1))</x:f>
      </x:c>
    </x:row>
    <x:row r="147">
      <x:c r="A147" s="15"/>
      <x:c r="B147" s="11"/>
      <x:c r="C147" s="11"/>
      <x:c r="D147" s="11"/>
      <x:c r="E147" s="16"/>
      <x:c r="F147" s="11"/>
      <x:c r="G147" s="14" t="str">
        <x:f>IF(A147="","",IF(OR(A147&lt;DATE('13 Haftalık Plan'!$F$2,'13 Haftalık Plan'!$D$2,'13 Haftalık Plan'!$B$2),A147&gt;DATE('13 Haftalık Plan'!$F$2,'13 Haftalık Plan'!$D$2,'13 Haftalık Plan'!$B$2)+90),"Dışarıda",INT((A147-DATE('13 Haftalık Plan'!$F$2,'13 Haftalık Plan'!$D$2,'13 Haftalık Plan'!$B$2))/7)+1))</x:f>
      </x:c>
    </x:row>
    <x:row r="148">
      <x:c r="A148" s="15"/>
      <x:c r="B148" s="11"/>
      <x:c r="C148" s="11"/>
      <x:c r="D148" s="11"/>
      <x:c r="E148" s="16"/>
      <x:c r="F148" s="11"/>
      <x:c r="G148" s="14" t="str">
        <x:f>IF(A148="","",IF(OR(A148&lt;DATE('13 Haftalık Plan'!$F$2,'13 Haftalık Plan'!$D$2,'13 Haftalık Plan'!$B$2),A148&gt;DATE('13 Haftalık Plan'!$F$2,'13 Haftalık Plan'!$D$2,'13 Haftalık Plan'!$B$2)+90),"Dışarıda",INT((A148-DATE('13 Haftalık Plan'!$F$2,'13 Haftalık Plan'!$D$2,'13 Haftalık Plan'!$B$2))/7)+1))</x:f>
      </x:c>
    </x:row>
    <x:row r="149">
      <x:c r="A149" s="15"/>
      <x:c r="B149" s="11"/>
      <x:c r="C149" s="11"/>
      <x:c r="D149" s="11"/>
      <x:c r="E149" s="16"/>
      <x:c r="F149" s="11"/>
      <x:c r="G149" s="14" t="str">
        <x:f>IF(A149="","",IF(OR(A149&lt;DATE('13 Haftalık Plan'!$F$2,'13 Haftalık Plan'!$D$2,'13 Haftalık Plan'!$B$2),A149&gt;DATE('13 Haftalık Plan'!$F$2,'13 Haftalık Plan'!$D$2,'13 Haftalık Plan'!$B$2)+90),"Dışarıda",INT((A149-DATE('13 Haftalık Plan'!$F$2,'13 Haftalık Plan'!$D$2,'13 Haftalık Plan'!$B$2))/7)+1))</x:f>
      </x:c>
    </x:row>
    <x:row r="150">
      <x:c r="A150" s="15"/>
      <x:c r="B150" s="11"/>
      <x:c r="C150" s="11"/>
      <x:c r="D150" s="11"/>
      <x:c r="E150" s="16"/>
      <x:c r="F150" s="11"/>
      <x:c r="G150" s="14" t="str">
        <x:f>IF(A150="","",IF(OR(A150&lt;DATE('13 Haftalık Plan'!$F$2,'13 Haftalık Plan'!$D$2,'13 Haftalık Plan'!$B$2),A150&gt;DATE('13 Haftalık Plan'!$F$2,'13 Haftalık Plan'!$D$2,'13 Haftalık Plan'!$B$2)+90),"Dışarıda",INT((A150-DATE('13 Haftalık Plan'!$F$2,'13 Haftalık Plan'!$D$2,'13 Haftalık Plan'!$B$2))/7)+1))</x:f>
      </x:c>
    </x:row>
    <x:row r="151">
      <x:c r="A151" s="15"/>
      <x:c r="B151" s="11"/>
      <x:c r="C151" s="11"/>
      <x:c r="D151" s="11"/>
      <x:c r="E151" s="16"/>
      <x:c r="F151" s="11"/>
      <x:c r="G151" s="14" t="str">
        <x:f>IF(A151="","",IF(OR(A151&lt;DATE('13 Haftalık Plan'!$F$2,'13 Haftalık Plan'!$D$2,'13 Haftalık Plan'!$B$2),A151&gt;DATE('13 Haftalık Plan'!$F$2,'13 Haftalık Plan'!$D$2,'13 Haftalık Plan'!$B$2)+90),"Dışarıda",INT((A151-DATE('13 Haftalık Plan'!$F$2,'13 Haftalık Plan'!$D$2,'13 Haftalık Plan'!$B$2))/7)+1))</x:f>
      </x:c>
    </x:row>
    <x:row r="152">
      <x:c r="A152" s="15"/>
      <x:c r="B152" s="11"/>
      <x:c r="C152" s="11"/>
      <x:c r="D152" s="11"/>
      <x:c r="E152" s="16"/>
      <x:c r="F152" s="11"/>
      <x:c r="G152" s="14" t="str">
        <x:f>IF(A152="","",IF(OR(A152&lt;DATE('13 Haftalık Plan'!$F$2,'13 Haftalık Plan'!$D$2,'13 Haftalık Plan'!$B$2),A152&gt;DATE('13 Haftalık Plan'!$F$2,'13 Haftalık Plan'!$D$2,'13 Haftalık Plan'!$B$2)+90),"Dışarıda",INT((A152-DATE('13 Haftalık Plan'!$F$2,'13 Haftalık Plan'!$D$2,'13 Haftalık Plan'!$B$2))/7)+1))</x:f>
      </x:c>
    </x:row>
    <x:row r="153">
      <x:c r="A153" s="15"/>
      <x:c r="B153" s="11"/>
      <x:c r="C153" s="11"/>
      <x:c r="D153" s="11"/>
      <x:c r="E153" s="16"/>
      <x:c r="F153" s="11"/>
      <x:c r="G153" s="14" t="str">
        <x:f>IF(A153="","",IF(OR(A153&lt;DATE('13 Haftalık Plan'!$F$2,'13 Haftalık Plan'!$D$2,'13 Haftalık Plan'!$B$2),A153&gt;DATE('13 Haftalık Plan'!$F$2,'13 Haftalık Plan'!$D$2,'13 Haftalık Plan'!$B$2)+90),"Dışarıda",INT((A153-DATE('13 Haftalık Plan'!$F$2,'13 Haftalık Plan'!$D$2,'13 Haftalık Plan'!$B$2))/7)+1))</x:f>
      </x:c>
    </x:row>
    <x:row r="154">
      <x:c r="A154" s="15"/>
      <x:c r="B154" s="11"/>
      <x:c r="C154" s="11"/>
      <x:c r="D154" s="11"/>
      <x:c r="E154" s="16"/>
      <x:c r="F154" s="11"/>
      <x:c r="G154" s="14" t="str">
        <x:f>IF(A154="","",IF(OR(A154&lt;DATE('13 Haftalık Plan'!$F$2,'13 Haftalık Plan'!$D$2,'13 Haftalık Plan'!$B$2),A154&gt;DATE('13 Haftalık Plan'!$F$2,'13 Haftalık Plan'!$D$2,'13 Haftalık Plan'!$B$2)+90),"Dışarıda",INT((A154-DATE('13 Haftalık Plan'!$F$2,'13 Haftalık Plan'!$D$2,'13 Haftalık Plan'!$B$2))/7)+1))</x:f>
      </x:c>
    </x:row>
    <x:row r="155">
      <x:c r="A155" s="15"/>
      <x:c r="B155" s="11"/>
      <x:c r="C155" s="11"/>
      <x:c r="D155" s="11"/>
      <x:c r="E155" s="16"/>
      <x:c r="F155" s="11"/>
      <x:c r="G155" s="14" t="str">
        <x:f>IF(A155="","",IF(OR(A155&lt;DATE('13 Haftalık Plan'!$F$2,'13 Haftalık Plan'!$D$2,'13 Haftalık Plan'!$B$2),A155&gt;DATE('13 Haftalık Plan'!$F$2,'13 Haftalık Plan'!$D$2,'13 Haftalık Plan'!$B$2)+90),"Dışarıda",INT((A155-DATE('13 Haftalık Plan'!$F$2,'13 Haftalık Plan'!$D$2,'13 Haftalık Plan'!$B$2))/7)+1))</x:f>
      </x:c>
    </x:row>
    <x:row r="156">
      <x:c r="A156" s="15"/>
      <x:c r="B156" s="11"/>
      <x:c r="C156" s="11"/>
      <x:c r="D156" s="11"/>
      <x:c r="E156" s="16"/>
      <x:c r="F156" s="11"/>
      <x:c r="G156" s="14" t="str">
        <x:f>IF(A156="","",IF(OR(A156&lt;DATE('13 Haftalık Plan'!$F$2,'13 Haftalık Plan'!$D$2,'13 Haftalık Plan'!$B$2),A156&gt;DATE('13 Haftalık Plan'!$F$2,'13 Haftalık Plan'!$D$2,'13 Haftalık Plan'!$B$2)+90),"Dışarıda",INT((A156-DATE('13 Haftalık Plan'!$F$2,'13 Haftalık Plan'!$D$2,'13 Haftalık Plan'!$B$2))/7)+1))</x:f>
      </x:c>
    </x:row>
    <x:row r="157">
      <x:c r="A157" s="15"/>
      <x:c r="B157" s="11"/>
      <x:c r="C157" s="11"/>
      <x:c r="D157" s="11"/>
      <x:c r="E157" s="16"/>
      <x:c r="F157" s="11"/>
      <x:c r="G157" s="14" t="str">
        <x:f>IF(A157="","",IF(OR(A157&lt;DATE('13 Haftalık Plan'!$F$2,'13 Haftalık Plan'!$D$2,'13 Haftalık Plan'!$B$2),A157&gt;DATE('13 Haftalık Plan'!$F$2,'13 Haftalık Plan'!$D$2,'13 Haftalık Plan'!$B$2)+90),"Dışarıda",INT((A157-DATE('13 Haftalık Plan'!$F$2,'13 Haftalık Plan'!$D$2,'13 Haftalık Plan'!$B$2))/7)+1))</x:f>
      </x:c>
    </x:row>
    <x:row r="158">
      <x:c r="A158" s="15"/>
      <x:c r="B158" s="11"/>
      <x:c r="C158" s="11"/>
      <x:c r="D158" s="11"/>
      <x:c r="E158" s="16"/>
      <x:c r="F158" s="11"/>
      <x:c r="G158" s="14" t="str">
        <x:f>IF(A158="","",IF(OR(A158&lt;DATE('13 Haftalık Plan'!$F$2,'13 Haftalık Plan'!$D$2,'13 Haftalık Plan'!$B$2),A158&gt;DATE('13 Haftalık Plan'!$F$2,'13 Haftalık Plan'!$D$2,'13 Haftalık Plan'!$B$2)+90),"Dışarıda",INT((A158-DATE('13 Haftalık Plan'!$F$2,'13 Haftalık Plan'!$D$2,'13 Haftalık Plan'!$B$2))/7)+1))</x:f>
      </x:c>
    </x:row>
    <x:row r="159">
      <x:c r="A159" s="15"/>
      <x:c r="B159" s="11"/>
      <x:c r="C159" s="11"/>
      <x:c r="D159" s="11"/>
      <x:c r="E159" s="16"/>
      <x:c r="F159" s="11"/>
      <x:c r="G159" s="14" t="str">
        <x:f>IF(A159="","",IF(OR(A159&lt;DATE('13 Haftalık Plan'!$F$2,'13 Haftalık Plan'!$D$2,'13 Haftalık Plan'!$B$2),A159&gt;DATE('13 Haftalık Plan'!$F$2,'13 Haftalık Plan'!$D$2,'13 Haftalık Plan'!$B$2)+90),"Dışarıda",INT((A159-DATE('13 Haftalık Plan'!$F$2,'13 Haftalık Plan'!$D$2,'13 Haftalık Plan'!$B$2))/7)+1))</x:f>
      </x:c>
    </x:row>
    <x:row r="160">
      <x:c r="A160" s="15"/>
      <x:c r="B160" s="11"/>
      <x:c r="C160" s="11"/>
      <x:c r="D160" s="11"/>
      <x:c r="E160" s="16"/>
      <x:c r="F160" s="11"/>
      <x:c r="G160" s="14" t="str">
        <x:f>IF(A160="","",IF(OR(A160&lt;DATE('13 Haftalık Plan'!$F$2,'13 Haftalık Plan'!$D$2,'13 Haftalık Plan'!$B$2),A160&gt;DATE('13 Haftalık Plan'!$F$2,'13 Haftalık Plan'!$D$2,'13 Haftalık Plan'!$B$2)+90),"Dışarıda",INT((A160-DATE('13 Haftalık Plan'!$F$2,'13 Haftalık Plan'!$D$2,'13 Haftalık Plan'!$B$2))/7)+1))</x:f>
      </x:c>
    </x:row>
    <x:row r="161">
      <x:c r="A161" s="15"/>
      <x:c r="B161" s="11"/>
      <x:c r="C161" s="11"/>
      <x:c r="D161" s="11"/>
      <x:c r="E161" s="16"/>
      <x:c r="F161" s="11"/>
      <x:c r="G161" s="14" t="str">
        <x:f>IF(A161="","",IF(OR(A161&lt;DATE('13 Haftalık Plan'!$F$2,'13 Haftalık Plan'!$D$2,'13 Haftalık Plan'!$B$2),A161&gt;DATE('13 Haftalık Plan'!$F$2,'13 Haftalık Plan'!$D$2,'13 Haftalık Plan'!$B$2)+90),"Dışarıda",INT((A161-DATE('13 Haftalık Plan'!$F$2,'13 Haftalık Plan'!$D$2,'13 Haftalık Plan'!$B$2))/7)+1))</x:f>
      </x:c>
    </x:row>
    <x:row r="162">
      <x:c r="A162" s="15"/>
      <x:c r="B162" s="11"/>
      <x:c r="C162" s="11"/>
      <x:c r="D162" s="11"/>
      <x:c r="E162" s="16"/>
      <x:c r="F162" s="11"/>
      <x:c r="G162" s="14" t="str">
        <x:f>IF(A162="","",IF(OR(A162&lt;DATE('13 Haftalık Plan'!$F$2,'13 Haftalık Plan'!$D$2,'13 Haftalık Plan'!$B$2),A162&gt;DATE('13 Haftalık Plan'!$F$2,'13 Haftalık Plan'!$D$2,'13 Haftalık Plan'!$B$2)+90),"Dışarıda",INT((A162-DATE('13 Haftalık Plan'!$F$2,'13 Haftalık Plan'!$D$2,'13 Haftalık Plan'!$B$2))/7)+1))</x:f>
      </x:c>
    </x:row>
    <x:row r="163">
      <x:c r="A163" s="15"/>
      <x:c r="B163" s="11"/>
      <x:c r="C163" s="11"/>
      <x:c r="D163" s="11"/>
      <x:c r="E163" s="16"/>
      <x:c r="F163" s="11"/>
      <x:c r="G163" s="14" t="str">
        <x:f>IF(A163="","",IF(OR(A163&lt;DATE('13 Haftalık Plan'!$F$2,'13 Haftalık Plan'!$D$2,'13 Haftalık Plan'!$B$2),A163&gt;DATE('13 Haftalık Plan'!$F$2,'13 Haftalık Plan'!$D$2,'13 Haftalık Plan'!$B$2)+90),"Dışarıda",INT((A163-DATE('13 Haftalık Plan'!$F$2,'13 Haftalık Plan'!$D$2,'13 Haftalık Plan'!$B$2))/7)+1))</x:f>
      </x:c>
    </x:row>
    <x:row r="164">
      <x:c r="A164" s="15"/>
      <x:c r="B164" s="11"/>
      <x:c r="C164" s="11"/>
      <x:c r="D164" s="11"/>
      <x:c r="E164" s="16"/>
      <x:c r="F164" s="11"/>
      <x:c r="G164" s="14" t="str">
        <x:f>IF(A164="","",IF(OR(A164&lt;DATE('13 Haftalık Plan'!$F$2,'13 Haftalık Plan'!$D$2,'13 Haftalık Plan'!$B$2),A164&gt;DATE('13 Haftalık Plan'!$F$2,'13 Haftalık Plan'!$D$2,'13 Haftalık Plan'!$B$2)+90),"Dışarıda",INT((A164-DATE('13 Haftalık Plan'!$F$2,'13 Haftalık Plan'!$D$2,'13 Haftalık Plan'!$B$2))/7)+1))</x:f>
      </x:c>
    </x:row>
    <x:row r="165">
      <x:c r="A165" s="15"/>
      <x:c r="B165" s="11"/>
      <x:c r="C165" s="11"/>
      <x:c r="D165" s="11"/>
      <x:c r="E165" s="16"/>
      <x:c r="F165" s="11"/>
      <x:c r="G165" s="14" t="str">
        <x:f>IF(A165="","",IF(OR(A165&lt;DATE('13 Haftalık Plan'!$F$2,'13 Haftalık Plan'!$D$2,'13 Haftalık Plan'!$B$2),A165&gt;DATE('13 Haftalık Plan'!$F$2,'13 Haftalık Plan'!$D$2,'13 Haftalık Plan'!$B$2)+90),"Dışarıda",INT((A165-DATE('13 Haftalık Plan'!$F$2,'13 Haftalık Plan'!$D$2,'13 Haftalık Plan'!$B$2))/7)+1))</x:f>
      </x:c>
    </x:row>
    <x:row r="166">
      <x:c r="A166" s="15"/>
      <x:c r="B166" s="11"/>
      <x:c r="C166" s="11"/>
      <x:c r="D166" s="11"/>
      <x:c r="E166" s="16"/>
      <x:c r="F166" s="11"/>
      <x:c r="G166" s="14" t="str">
        <x:f>IF(A166="","",IF(OR(A166&lt;DATE('13 Haftalık Plan'!$F$2,'13 Haftalık Plan'!$D$2,'13 Haftalık Plan'!$B$2),A166&gt;DATE('13 Haftalık Plan'!$F$2,'13 Haftalık Plan'!$D$2,'13 Haftalık Plan'!$B$2)+90),"Dışarıda",INT((A166-DATE('13 Haftalık Plan'!$F$2,'13 Haftalık Plan'!$D$2,'13 Haftalık Plan'!$B$2))/7)+1))</x:f>
      </x:c>
    </x:row>
    <x:row r="167">
      <x:c r="A167" s="15"/>
      <x:c r="B167" s="11"/>
      <x:c r="C167" s="11"/>
      <x:c r="D167" s="11"/>
      <x:c r="E167" s="16"/>
      <x:c r="F167" s="11"/>
      <x:c r="G167" s="14" t="str">
        <x:f>IF(A167="","",IF(OR(A167&lt;DATE('13 Haftalık Plan'!$F$2,'13 Haftalık Plan'!$D$2,'13 Haftalık Plan'!$B$2),A167&gt;DATE('13 Haftalık Plan'!$F$2,'13 Haftalık Plan'!$D$2,'13 Haftalık Plan'!$B$2)+90),"Dışarıda",INT((A167-DATE('13 Haftalık Plan'!$F$2,'13 Haftalık Plan'!$D$2,'13 Haftalık Plan'!$B$2))/7)+1))</x:f>
      </x:c>
    </x:row>
    <x:row r="168">
      <x:c r="A168" s="15"/>
      <x:c r="B168" s="11"/>
      <x:c r="C168" s="11"/>
      <x:c r="D168" s="11"/>
      <x:c r="E168" s="16"/>
      <x:c r="F168" s="11"/>
      <x:c r="G168" s="14" t="str">
        <x:f>IF(A168="","",IF(OR(A168&lt;DATE('13 Haftalık Plan'!$F$2,'13 Haftalık Plan'!$D$2,'13 Haftalık Plan'!$B$2),A168&gt;DATE('13 Haftalık Plan'!$F$2,'13 Haftalık Plan'!$D$2,'13 Haftalık Plan'!$B$2)+90),"Dışarıda",INT((A168-DATE('13 Haftalık Plan'!$F$2,'13 Haftalık Plan'!$D$2,'13 Haftalık Plan'!$B$2))/7)+1))</x:f>
      </x:c>
    </x:row>
    <x:row r="169">
      <x:c r="A169" s="15"/>
      <x:c r="B169" s="11"/>
      <x:c r="C169" s="11"/>
      <x:c r="D169" s="11"/>
      <x:c r="E169" s="16"/>
      <x:c r="F169" s="11"/>
      <x:c r="G169" s="14" t="str">
        <x:f>IF(A169="","",IF(OR(A169&lt;DATE('13 Haftalık Plan'!$F$2,'13 Haftalık Plan'!$D$2,'13 Haftalık Plan'!$B$2),A169&gt;DATE('13 Haftalık Plan'!$F$2,'13 Haftalık Plan'!$D$2,'13 Haftalık Plan'!$B$2)+90),"Dışarıda",INT((A169-DATE('13 Haftalık Plan'!$F$2,'13 Haftalık Plan'!$D$2,'13 Haftalık Plan'!$B$2))/7)+1))</x:f>
      </x:c>
    </x:row>
    <x:row r="170">
      <x:c r="A170" s="15"/>
      <x:c r="B170" s="11"/>
      <x:c r="C170" s="11"/>
      <x:c r="D170" s="11"/>
      <x:c r="E170" s="16"/>
      <x:c r="F170" s="11"/>
      <x:c r="G170" s="14" t="str">
        <x:f>IF(A170="","",IF(OR(A170&lt;DATE('13 Haftalık Plan'!$F$2,'13 Haftalık Plan'!$D$2,'13 Haftalık Plan'!$B$2),A170&gt;DATE('13 Haftalık Plan'!$F$2,'13 Haftalık Plan'!$D$2,'13 Haftalık Plan'!$B$2)+90),"Dışarıda",INT((A170-DATE('13 Haftalık Plan'!$F$2,'13 Haftalık Plan'!$D$2,'13 Haftalık Plan'!$B$2))/7)+1))</x:f>
      </x:c>
    </x:row>
    <x:row r="171">
      <x:c r="A171" s="15"/>
      <x:c r="B171" s="11"/>
      <x:c r="C171" s="11"/>
      <x:c r="D171" s="11"/>
      <x:c r="E171" s="16"/>
      <x:c r="F171" s="11"/>
      <x:c r="G171" s="14" t="str">
        <x:f>IF(A171="","",IF(OR(A171&lt;DATE('13 Haftalık Plan'!$F$2,'13 Haftalık Plan'!$D$2,'13 Haftalık Plan'!$B$2),A171&gt;DATE('13 Haftalık Plan'!$F$2,'13 Haftalık Plan'!$D$2,'13 Haftalık Plan'!$B$2)+90),"Dışarıda",INT((A171-DATE('13 Haftalık Plan'!$F$2,'13 Haftalık Plan'!$D$2,'13 Haftalık Plan'!$B$2))/7)+1))</x:f>
      </x:c>
    </x:row>
    <x:row r="172">
      <x:c r="A172" s="15"/>
      <x:c r="B172" s="11"/>
      <x:c r="C172" s="11"/>
      <x:c r="D172" s="11"/>
      <x:c r="E172" s="16"/>
      <x:c r="F172" s="11"/>
      <x:c r="G172" s="14" t="str">
        <x:f>IF(A172="","",IF(OR(A172&lt;DATE('13 Haftalık Plan'!$F$2,'13 Haftalık Plan'!$D$2,'13 Haftalık Plan'!$B$2),A172&gt;DATE('13 Haftalık Plan'!$F$2,'13 Haftalık Plan'!$D$2,'13 Haftalık Plan'!$B$2)+90),"Dışarıda",INT((A172-DATE('13 Haftalık Plan'!$F$2,'13 Haftalık Plan'!$D$2,'13 Haftalık Plan'!$B$2))/7)+1))</x:f>
      </x:c>
    </x:row>
    <x:row r="173">
      <x:c r="A173" s="15"/>
      <x:c r="B173" s="11"/>
      <x:c r="C173" s="11"/>
      <x:c r="D173" s="11"/>
      <x:c r="E173" s="16"/>
      <x:c r="F173" s="11"/>
      <x:c r="G173" s="14" t="str">
        <x:f>IF(A173="","",IF(OR(A173&lt;DATE('13 Haftalık Plan'!$F$2,'13 Haftalık Plan'!$D$2,'13 Haftalık Plan'!$B$2),A173&gt;DATE('13 Haftalık Plan'!$F$2,'13 Haftalık Plan'!$D$2,'13 Haftalık Plan'!$B$2)+90),"Dışarıda",INT((A173-DATE('13 Haftalık Plan'!$F$2,'13 Haftalık Plan'!$D$2,'13 Haftalık Plan'!$B$2))/7)+1))</x:f>
      </x:c>
    </x:row>
    <x:row r="174">
      <x:c r="A174" s="15"/>
      <x:c r="B174" s="11"/>
      <x:c r="C174" s="11"/>
      <x:c r="D174" s="11"/>
      <x:c r="E174" s="16"/>
      <x:c r="F174" s="11"/>
      <x:c r="G174" s="14" t="str">
        <x:f>IF(A174="","",IF(OR(A174&lt;DATE('13 Haftalık Plan'!$F$2,'13 Haftalık Plan'!$D$2,'13 Haftalık Plan'!$B$2),A174&gt;DATE('13 Haftalık Plan'!$F$2,'13 Haftalık Plan'!$D$2,'13 Haftalık Plan'!$B$2)+90),"Dışarıda",INT((A174-DATE('13 Haftalık Plan'!$F$2,'13 Haftalık Plan'!$D$2,'13 Haftalık Plan'!$B$2))/7)+1))</x:f>
      </x:c>
    </x:row>
    <x:row r="175">
      <x:c r="A175" s="15"/>
      <x:c r="B175" s="11"/>
      <x:c r="C175" s="11"/>
      <x:c r="D175" s="11"/>
      <x:c r="E175" s="16"/>
      <x:c r="F175" s="11"/>
      <x:c r="G175" s="14" t="str">
        <x:f>IF(A175="","",IF(OR(A175&lt;DATE('13 Haftalık Plan'!$F$2,'13 Haftalık Plan'!$D$2,'13 Haftalık Plan'!$B$2),A175&gt;DATE('13 Haftalık Plan'!$F$2,'13 Haftalık Plan'!$D$2,'13 Haftalık Plan'!$B$2)+90),"Dışarıda",INT((A175-DATE('13 Haftalık Plan'!$F$2,'13 Haftalık Plan'!$D$2,'13 Haftalık Plan'!$B$2))/7)+1))</x:f>
      </x:c>
    </x:row>
    <x:row r="176">
      <x:c r="A176" s="15"/>
      <x:c r="B176" s="11"/>
      <x:c r="C176" s="11"/>
      <x:c r="D176" s="11"/>
      <x:c r="E176" s="16"/>
      <x:c r="F176" s="11"/>
      <x:c r="G176" s="14" t="str">
        <x:f>IF(A176="","",IF(OR(A176&lt;DATE('13 Haftalık Plan'!$F$2,'13 Haftalık Plan'!$D$2,'13 Haftalık Plan'!$B$2),A176&gt;DATE('13 Haftalık Plan'!$F$2,'13 Haftalık Plan'!$D$2,'13 Haftalık Plan'!$B$2)+90),"Dışarıda",INT((A176-DATE('13 Haftalık Plan'!$F$2,'13 Haftalık Plan'!$D$2,'13 Haftalık Plan'!$B$2))/7)+1))</x:f>
      </x:c>
    </x:row>
    <x:row r="177">
      <x:c r="A177" s="15"/>
      <x:c r="B177" s="11"/>
      <x:c r="C177" s="11"/>
      <x:c r="D177" s="11"/>
      <x:c r="E177" s="16"/>
      <x:c r="F177" s="11"/>
      <x:c r="G177" s="14" t="str">
        <x:f>IF(A177="","",IF(OR(A177&lt;DATE('13 Haftalık Plan'!$F$2,'13 Haftalık Plan'!$D$2,'13 Haftalık Plan'!$B$2),A177&gt;DATE('13 Haftalık Plan'!$F$2,'13 Haftalık Plan'!$D$2,'13 Haftalık Plan'!$B$2)+90),"Dışarıda",INT((A177-DATE('13 Haftalık Plan'!$F$2,'13 Haftalık Plan'!$D$2,'13 Haftalık Plan'!$B$2))/7)+1))</x:f>
      </x:c>
    </x:row>
    <x:row r="178">
      <x:c r="A178" s="15"/>
      <x:c r="B178" s="11"/>
      <x:c r="C178" s="11"/>
      <x:c r="D178" s="11"/>
      <x:c r="E178" s="16"/>
      <x:c r="F178" s="11"/>
      <x:c r="G178" s="14" t="str">
        <x:f>IF(A178="","",IF(OR(A178&lt;DATE('13 Haftalık Plan'!$F$2,'13 Haftalık Plan'!$D$2,'13 Haftalık Plan'!$B$2),A178&gt;DATE('13 Haftalık Plan'!$F$2,'13 Haftalık Plan'!$D$2,'13 Haftalık Plan'!$B$2)+90),"Dışarıda",INT((A178-DATE('13 Haftalık Plan'!$F$2,'13 Haftalık Plan'!$D$2,'13 Haftalık Plan'!$B$2))/7)+1))</x:f>
      </x:c>
    </x:row>
    <x:row r="179">
      <x:c r="A179" s="15"/>
      <x:c r="B179" s="11"/>
      <x:c r="C179" s="11"/>
      <x:c r="D179" s="11"/>
      <x:c r="E179" s="16"/>
      <x:c r="F179" s="11"/>
      <x:c r="G179" s="14" t="str">
        <x:f>IF(A179="","",IF(OR(A179&lt;DATE('13 Haftalık Plan'!$F$2,'13 Haftalık Plan'!$D$2,'13 Haftalık Plan'!$B$2),A179&gt;DATE('13 Haftalık Plan'!$F$2,'13 Haftalık Plan'!$D$2,'13 Haftalık Plan'!$B$2)+90),"Dışarıda",INT((A179-DATE('13 Haftalık Plan'!$F$2,'13 Haftalık Plan'!$D$2,'13 Haftalık Plan'!$B$2))/7)+1))</x:f>
      </x:c>
    </x:row>
    <x:row r="180">
      <x:c r="A180" s="15"/>
      <x:c r="B180" s="11"/>
      <x:c r="C180" s="11"/>
      <x:c r="D180" s="11"/>
      <x:c r="E180" s="16"/>
      <x:c r="F180" s="11"/>
      <x:c r="G180" s="14" t="str">
        <x:f>IF(A180="","",IF(OR(A180&lt;DATE('13 Haftalık Plan'!$F$2,'13 Haftalık Plan'!$D$2,'13 Haftalık Plan'!$B$2),A180&gt;DATE('13 Haftalık Plan'!$F$2,'13 Haftalık Plan'!$D$2,'13 Haftalık Plan'!$B$2)+90),"Dışarıda",INT((A180-DATE('13 Haftalık Plan'!$F$2,'13 Haftalık Plan'!$D$2,'13 Haftalık Plan'!$B$2))/7)+1))</x:f>
      </x:c>
    </x:row>
    <x:row r="181">
      <x:c r="A181" s="15"/>
      <x:c r="B181" s="11"/>
      <x:c r="C181" s="11"/>
      <x:c r="D181" s="11"/>
      <x:c r="E181" s="16"/>
      <x:c r="F181" s="11"/>
      <x:c r="G181" s="14" t="str">
        <x:f>IF(A181="","",IF(OR(A181&lt;DATE('13 Haftalık Plan'!$F$2,'13 Haftalık Plan'!$D$2,'13 Haftalık Plan'!$B$2),A181&gt;DATE('13 Haftalık Plan'!$F$2,'13 Haftalık Plan'!$D$2,'13 Haftalık Plan'!$B$2)+90),"Dışarıda",INT((A181-DATE('13 Haftalık Plan'!$F$2,'13 Haftalık Plan'!$D$2,'13 Haftalık Plan'!$B$2))/7)+1))</x:f>
      </x:c>
    </x:row>
    <x:row r="182">
      <x:c r="A182" s="15"/>
      <x:c r="B182" s="11"/>
      <x:c r="C182" s="11"/>
      <x:c r="D182" s="11"/>
      <x:c r="E182" s="16"/>
      <x:c r="F182" s="11"/>
      <x:c r="G182" s="14" t="str">
        <x:f>IF(A182="","",IF(OR(A182&lt;DATE('13 Haftalık Plan'!$F$2,'13 Haftalık Plan'!$D$2,'13 Haftalık Plan'!$B$2),A182&gt;DATE('13 Haftalık Plan'!$F$2,'13 Haftalık Plan'!$D$2,'13 Haftalık Plan'!$B$2)+90),"Dışarıda",INT((A182-DATE('13 Haftalık Plan'!$F$2,'13 Haftalık Plan'!$D$2,'13 Haftalık Plan'!$B$2))/7)+1))</x:f>
      </x:c>
    </x:row>
    <x:row r="183">
      <x:c r="A183" s="15"/>
      <x:c r="B183" s="11"/>
      <x:c r="C183" s="11"/>
      <x:c r="D183" s="11"/>
      <x:c r="E183" s="16"/>
      <x:c r="F183" s="11"/>
      <x:c r="G183" s="14" t="str">
        <x:f>IF(A183="","",IF(OR(A183&lt;DATE('13 Haftalık Plan'!$F$2,'13 Haftalık Plan'!$D$2,'13 Haftalık Plan'!$B$2),A183&gt;DATE('13 Haftalık Plan'!$F$2,'13 Haftalık Plan'!$D$2,'13 Haftalık Plan'!$B$2)+90),"Dışarıda",INT((A183-DATE('13 Haftalık Plan'!$F$2,'13 Haftalık Plan'!$D$2,'13 Haftalık Plan'!$B$2))/7)+1))</x:f>
      </x:c>
    </x:row>
    <x:row r="184">
      <x:c r="A184" s="15"/>
      <x:c r="B184" s="11"/>
      <x:c r="C184" s="11"/>
      <x:c r="D184" s="11"/>
      <x:c r="E184" s="16"/>
      <x:c r="F184" s="11"/>
      <x:c r="G184" s="14" t="str">
        <x:f>IF(A184="","",IF(OR(A184&lt;DATE('13 Haftalık Plan'!$F$2,'13 Haftalık Plan'!$D$2,'13 Haftalık Plan'!$B$2),A184&gt;DATE('13 Haftalık Plan'!$F$2,'13 Haftalık Plan'!$D$2,'13 Haftalık Plan'!$B$2)+90),"Dışarıda",INT((A184-DATE('13 Haftalık Plan'!$F$2,'13 Haftalık Plan'!$D$2,'13 Haftalık Plan'!$B$2))/7)+1))</x:f>
      </x:c>
    </x:row>
    <x:row r="185">
      <x:c r="A185" s="15"/>
      <x:c r="B185" s="11"/>
      <x:c r="C185" s="11"/>
      <x:c r="D185" s="11"/>
      <x:c r="E185" s="16"/>
      <x:c r="F185" s="11"/>
      <x:c r="G185" s="14" t="str">
        <x:f>IF(A185="","",IF(OR(A185&lt;DATE('13 Haftalık Plan'!$F$2,'13 Haftalık Plan'!$D$2,'13 Haftalık Plan'!$B$2),A185&gt;DATE('13 Haftalık Plan'!$F$2,'13 Haftalık Plan'!$D$2,'13 Haftalık Plan'!$B$2)+90),"Dışarıda",INT((A185-DATE('13 Haftalık Plan'!$F$2,'13 Haftalık Plan'!$D$2,'13 Haftalık Plan'!$B$2))/7)+1))</x:f>
      </x:c>
    </x:row>
    <x:row r="186">
      <x:c r="A186" s="15"/>
      <x:c r="B186" s="11"/>
      <x:c r="C186" s="11"/>
      <x:c r="D186" s="11"/>
      <x:c r="E186" s="16"/>
      <x:c r="F186" s="11"/>
      <x:c r="G186" s="14" t="str">
        <x:f>IF(A186="","",IF(OR(A186&lt;DATE('13 Haftalık Plan'!$F$2,'13 Haftalık Plan'!$D$2,'13 Haftalık Plan'!$B$2),A186&gt;DATE('13 Haftalık Plan'!$F$2,'13 Haftalık Plan'!$D$2,'13 Haftalık Plan'!$B$2)+90),"Dışarıda",INT((A186-DATE('13 Haftalık Plan'!$F$2,'13 Haftalık Plan'!$D$2,'13 Haftalık Plan'!$B$2))/7)+1))</x:f>
      </x:c>
    </x:row>
    <x:row r="187">
      <x:c r="A187" s="15"/>
      <x:c r="B187" s="11"/>
      <x:c r="C187" s="11"/>
      <x:c r="D187" s="11"/>
      <x:c r="E187" s="16"/>
      <x:c r="F187" s="11"/>
      <x:c r="G187" s="14" t="str">
        <x:f>IF(A187="","",IF(OR(A187&lt;DATE('13 Haftalık Plan'!$F$2,'13 Haftalık Plan'!$D$2,'13 Haftalık Plan'!$B$2),A187&gt;DATE('13 Haftalık Plan'!$F$2,'13 Haftalık Plan'!$D$2,'13 Haftalık Plan'!$B$2)+90),"Dışarıda",INT((A187-DATE('13 Haftalık Plan'!$F$2,'13 Haftalık Plan'!$D$2,'13 Haftalık Plan'!$B$2))/7)+1))</x:f>
      </x:c>
    </x:row>
    <x:row r="188">
      <x:c r="A188" s="15"/>
      <x:c r="B188" s="11"/>
      <x:c r="C188" s="11"/>
      <x:c r="D188" s="11"/>
      <x:c r="E188" s="16"/>
      <x:c r="F188" s="11"/>
      <x:c r="G188" s="14" t="str">
        <x:f>IF(A188="","",IF(OR(A188&lt;DATE('13 Haftalık Plan'!$F$2,'13 Haftalık Plan'!$D$2,'13 Haftalık Plan'!$B$2),A188&gt;DATE('13 Haftalık Plan'!$F$2,'13 Haftalık Plan'!$D$2,'13 Haftalık Plan'!$B$2)+90),"Dışarıda",INT((A188-DATE('13 Haftalık Plan'!$F$2,'13 Haftalık Plan'!$D$2,'13 Haftalık Plan'!$B$2))/7)+1))</x:f>
      </x:c>
    </x:row>
    <x:row r="189">
      <x:c r="A189" s="15"/>
      <x:c r="B189" s="11"/>
      <x:c r="C189" s="11"/>
      <x:c r="D189" s="11"/>
      <x:c r="E189" s="16"/>
      <x:c r="F189" s="11"/>
      <x:c r="G189" s="14" t="str">
        <x:f>IF(A189="","",IF(OR(A189&lt;DATE('13 Haftalık Plan'!$F$2,'13 Haftalık Plan'!$D$2,'13 Haftalık Plan'!$B$2),A189&gt;DATE('13 Haftalık Plan'!$F$2,'13 Haftalık Plan'!$D$2,'13 Haftalık Plan'!$B$2)+90),"Dışarıda",INT((A189-DATE('13 Haftalık Plan'!$F$2,'13 Haftalık Plan'!$D$2,'13 Haftalık Plan'!$B$2))/7)+1))</x:f>
      </x:c>
    </x:row>
    <x:row r="190">
      <x:c r="A190" s="15"/>
      <x:c r="B190" s="11"/>
      <x:c r="C190" s="11"/>
      <x:c r="D190" s="11"/>
      <x:c r="E190" s="16"/>
      <x:c r="F190" s="11"/>
      <x:c r="G190" s="14" t="str">
        <x:f>IF(A190="","",IF(OR(A190&lt;DATE('13 Haftalık Plan'!$F$2,'13 Haftalık Plan'!$D$2,'13 Haftalık Plan'!$B$2),A190&gt;DATE('13 Haftalık Plan'!$F$2,'13 Haftalık Plan'!$D$2,'13 Haftalık Plan'!$B$2)+90),"Dışarıda",INT((A190-DATE('13 Haftalık Plan'!$F$2,'13 Haftalık Plan'!$D$2,'13 Haftalık Plan'!$B$2))/7)+1))</x:f>
      </x:c>
    </x:row>
    <x:row r="191">
      <x:c r="A191" s="15"/>
      <x:c r="B191" s="11"/>
      <x:c r="C191" s="11"/>
      <x:c r="D191" s="11"/>
      <x:c r="E191" s="16"/>
      <x:c r="F191" s="11"/>
      <x:c r="G191" s="14" t="str">
        <x:f>IF(A191="","",IF(OR(A191&lt;DATE('13 Haftalık Plan'!$F$2,'13 Haftalık Plan'!$D$2,'13 Haftalık Plan'!$B$2),A191&gt;DATE('13 Haftalık Plan'!$F$2,'13 Haftalık Plan'!$D$2,'13 Haftalık Plan'!$B$2)+90),"Dışarıda",INT((A191-DATE('13 Haftalık Plan'!$F$2,'13 Haftalık Plan'!$D$2,'13 Haftalık Plan'!$B$2))/7)+1))</x:f>
      </x:c>
    </x:row>
    <x:row r="192">
      <x:c r="A192" s="15"/>
      <x:c r="B192" s="11"/>
      <x:c r="C192" s="11"/>
      <x:c r="D192" s="11"/>
      <x:c r="E192" s="16"/>
      <x:c r="F192" s="11"/>
      <x:c r="G192" s="14" t="str">
        <x:f>IF(A192="","",IF(OR(A192&lt;DATE('13 Haftalık Plan'!$F$2,'13 Haftalık Plan'!$D$2,'13 Haftalık Plan'!$B$2),A192&gt;DATE('13 Haftalık Plan'!$F$2,'13 Haftalık Plan'!$D$2,'13 Haftalık Plan'!$B$2)+90),"Dışarıda",INT((A192-DATE('13 Haftalık Plan'!$F$2,'13 Haftalık Plan'!$D$2,'13 Haftalık Plan'!$B$2))/7)+1))</x:f>
      </x:c>
    </x:row>
    <x:row r="193">
      <x:c r="A193" s="15"/>
      <x:c r="B193" s="11"/>
      <x:c r="C193" s="11"/>
      <x:c r="D193" s="11"/>
      <x:c r="E193" s="16"/>
      <x:c r="F193" s="11"/>
      <x:c r="G193" s="14" t="str">
        <x:f>IF(A193="","",IF(OR(A193&lt;DATE('13 Haftalık Plan'!$F$2,'13 Haftalık Plan'!$D$2,'13 Haftalık Plan'!$B$2),A193&gt;DATE('13 Haftalık Plan'!$F$2,'13 Haftalık Plan'!$D$2,'13 Haftalık Plan'!$B$2)+90),"Dışarıda",INT((A193-DATE('13 Haftalık Plan'!$F$2,'13 Haftalık Plan'!$D$2,'13 Haftalık Plan'!$B$2))/7)+1))</x:f>
      </x:c>
    </x:row>
    <x:row r="194">
      <x:c r="A194" s="15"/>
      <x:c r="B194" s="11"/>
      <x:c r="C194" s="11"/>
      <x:c r="D194" s="11"/>
      <x:c r="E194" s="16"/>
      <x:c r="F194" s="11"/>
      <x:c r="G194" s="14" t="str">
        <x:f>IF(A194="","",IF(OR(A194&lt;DATE('13 Haftalık Plan'!$F$2,'13 Haftalık Plan'!$D$2,'13 Haftalık Plan'!$B$2),A194&gt;DATE('13 Haftalık Plan'!$F$2,'13 Haftalık Plan'!$D$2,'13 Haftalık Plan'!$B$2)+90),"Dışarıda",INT((A194-DATE('13 Haftalık Plan'!$F$2,'13 Haftalık Plan'!$D$2,'13 Haftalık Plan'!$B$2))/7)+1))</x:f>
      </x:c>
    </x:row>
    <x:row r="195">
      <x:c r="A195" s="15"/>
      <x:c r="B195" s="11"/>
      <x:c r="C195" s="11"/>
      <x:c r="D195" s="11"/>
      <x:c r="E195" s="16"/>
      <x:c r="F195" s="11"/>
      <x:c r="G195" s="14" t="str">
        <x:f>IF(A195="","",IF(OR(A195&lt;DATE('13 Haftalık Plan'!$F$2,'13 Haftalık Plan'!$D$2,'13 Haftalık Plan'!$B$2),A195&gt;DATE('13 Haftalık Plan'!$F$2,'13 Haftalık Plan'!$D$2,'13 Haftalık Plan'!$B$2)+90),"Dışarıda",INT((A195-DATE('13 Haftalık Plan'!$F$2,'13 Haftalık Plan'!$D$2,'13 Haftalık Plan'!$B$2))/7)+1))</x:f>
      </x:c>
    </x:row>
    <x:row r="196">
      <x:c r="A196" s="15"/>
      <x:c r="B196" s="11"/>
      <x:c r="C196" s="11"/>
      <x:c r="D196" s="11"/>
      <x:c r="E196" s="16"/>
      <x:c r="F196" s="11"/>
      <x:c r="G196" s="14" t="str">
        <x:f>IF(A196="","",IF(OR(A196&lt;DATE('13 Haftalık Plan'!$F$2,'13 Haftalık Plan'!$D$2,'13 Haftalık Plan'!$B$2),A196&gt;DATE('13 Haftalık Plan'!$F$2,'13 Haftalık Plan'!$D$2,'13 Haftalık Plan'!$B$2)+90),"Dışarıda",INT((A196-DATE('13 Haftalık Plan'!$F$2,'13 Haftalık Plan'!$D$2,'13 Haftalık Plan'!$B$2))/7)+1))</x:f>
      </x:c>
    </x:row>
    <x:row r="197">
      <x:c r="A197" s="15"/>
      <x:c r="B197" s="11"/>
      <x:c r="C197" s="11"/>
      <x:c r="D197" s="11"/>
      <x:c r="E197" s="16"/>
      <x:c r="F197" s="11"/>
      <x:c r="G197" s="14" t="str">
        <x:f>IF(A197="","",IF(OR(A197&lt;DATE('13 Haftalık Plan'!$F$2,'13 Haftalık Plan'!$D$2,'13 Haftalık Plan'!$B$2),A197&gt;DATE('13 Haftalık Plan'!$F$2,'13 Haftalık Plan'!$D$2,'13 Haftalık Plan'!$B$2)+90),"Dışarıda",INT((A197-DATE('13 Haftalık Plan'!$F$2,'13 Haftalık Plan'!$D$2,'13 Haftalık Plan'!$B$2))/7)+1))</x:f>
      </x:c>
    </x:row>
    <x:row r="198">
      <x:c r="A198" s="15"/>
      <x:c r="B198" s="11"/>
      <x:c r="C198" s="11"/>
      <x:c r="D198" s="11"/>
      <x:c r="E198" s="16"/>
      <x:c r="F198" s="11"/>
      <x:c r="G198" s="14" t="str">
        <x:f>IF(A198="","",IF(OR(A198&lt;DATE('13 Haftalık Plan'!$F$2,'13 Haftalık Plan'!$D$2,'13 Haftalık Plan'!$B$2),A198&gt;DATE('13 Haftalık Plan'!$F$2,'13 Haftalık Plan'!$D$2,'13 Haftalık Plan'!$B$2)+90),"Dışarıda",INT((A198-DATE('13 Haftalık Plan'!$F$2,'13 Haftalık Plan'!$D$2,'13 Haftalık Plan'!$B$2))/7)+1))</x:f>
      </x:c>
    </x:row>
    <x:row r="199">
      <x:c r="A199" s="15"/>
      <x:c r="B199" s="11"/>
      <x:c r="C199" s="11"/>
      <x:c r="D199" s="11"/>
      <x:c r="E199" s="16"/>
      <x:c r="F199" s="11"/>
      <x:c r="G199" s="14" t="str">
        <x:f>IF(A199="","",IF(OR(A199&lt;DATE('13 Haftalık Plan'!$F$2,'13 Haftalık Plan'!$D$2,'13 Haftalık Plan'!$B$2),A199&gt;DATE('13 Haftalık Plan'!$F$2,'13 Haftalık Plan'!$D$2,'13 Haftalık Plan'!$B$2)+90),"Dışarıda",INT((A199-DATE('13 Haftalık Plan'!$F$2,'13 Haftalık Plan'!$D$2,'13 Haftalık Plan'!$B$2))/7)+1))</x:f>
      </x:c>
    </x:row>
    <x:row r="200">
      <x:c r="A200" s="15"/>
      <x:c r="B200" s="11"/>
      <x:c r="C200" s="11"/>
      <x:c r="D200" s="11"/>
      <x:c r="E200" s="16"/>
      <x:c r="F200" s="11"/>
      <x:c r="G200" s="14" t="str">
        <x:f>IF(A200="","",IF(OR(A200&lt;DATE('13 Haftalık Plan'!$F$2,'13 Haftalık Plan'!$D$2,'13 Haftalık Plan'!$B$2),A200&gt;DATE('13 Haftalık Plan'!$F$2,'13 Haftalık Plan'!$D$2,'13 Haftalık Plan'!$B$2)+90),"Dışarıda",INT((A200-DATE('13 Haftalık Plan'!$F$2,'13 Haftalık Plan'!$D$2,'13 Haftalık Plan'!$B$2))/7)+1))</x:f>
      </x:c>
    </x:row>
    <x:row r="201">
      <x:c r="A201" s="15"/>
      <x:c r="B201" s="11"/>
      <x:c r="C201" s="11"/>
      <x:c r="D201" s="11"/>
      <x:c r="E201" s="16"/>
      <x:c r="F201" s="11"/>
      <x:c r="G201" s="14" t="str">
        <x:f>IF(A201="","",IF(OR(A201&lt;DATE('13 Haftalık Plan'!$F$2,'13 Haftalık Plan'!$D$2,'13 Haftalık Plan'!$B$2),A201&gt;DATE('13 Haftalık Plan'!$F$2,'13 Haftalık Plan'!$D$2,'13 Haftalık Plan'!$B$2)+90),"Dışarıda",INT((A201-DATE('13 Haftalık Plan'!$F$2,'13 Haftalık Plan'!$D$2,'13 Haftalık Plan'!$B$2))/7)+1))</x:f>
      </x:c>
    </x:row>
    <x:row r="202">
      <x:c r="A202" s="15"/>
      <x:c r="B202" s="11"/>
      <x:c r="C202" s="11"/>
      <x:c r="D202" s="11"/>
      <x:c r="E202" s="16"/>
      <x:c r="F202" s="11"/>
      <x:c r="G202" s="14" t="str">
        <x:f>IF(A202="","",IF(OR(A202&lt;DATE('13 Haftalık Plan'!$F$2,'13 Haftalık Plan'!$D$2,'13 Haftalık Plan'!$B$2),A202&gt;DATE('13 Haftalık Plan'!$F$2,'13 Haftalık Plan'!$D$2,'13 Haftalık Plan'!$B$2)+90),"Dışarıda",INT((A202-DATE('13 Haftalık Plan'!$F$2,'13 Haftalık Plan'!$D$2,'13 Haftalık Plan'!$B$2))/7)+1))</x:f>
      </x:c>
    </x:row>
    <x:row r="203">
      <x:c r="A203" s="15"/>
      <x:c r="B203" s="11"/>
      <x:c r="C203" s="11"/>
      <x:c r="D203" s="11"/>
      <x:c r="E203" s="16"/>
      <x:c r="F203" s="11"/>
      <x:c r="G203" s="14" t="str">
        <x:f>IF(A203="","",IF(OR(A203&lt;DATE('13 Haftalık Plan'!$F$2,'13 Haftalık Plan'!$D$2,'13 Haftalık Plan'!$B$2),A203&gt;DATE('13 Haftalık Plan'!$F$2,'13 Haftalık Plan'!$D$2,'13 Haftalık Plan'!$B$2)+90),"Dışarıda",INT((A203-DATE('13 Haftalık Plan'!$F$2,'13 Haftalık Plan'!$D$2,'13 Haftalık Plan'!$B$2))/7)+1))</x:f>
      </x:c>
    </x:row>
    <x:row r="204">
      <x:c r="A204" s="15"/>
      <x:c r="B204" s="11"/>
      <x:c r="C204" s="11"/>
      <x:c r="D204" s="11"/>
      <x:c r="E204" s="16"/>
      <x:c r="F204" s="11"/>
      <x:c r="G204" s="14" t="str">
        <x:f>IF(A204="","",IF(OR(A204&lt;DATE('13 Haftalık Plan'!$F$2,'13 Haftalık Plan'!$D$2,'13 Haftalık Plan'!$B$2),A204&gt;DATE('13 Haftalık Plan'!$F$2,'13 Haftalık Plan'!$D$2,'13 Haftalık Plan'!$B$2)+90),"Dışarıda",INT((A204-DATE('13 Haftalık Plan'!$F$2,'13 Haftalık Plan'!$D$2,'13 Haftalık Plan'!$B$2))/7)+1))</x:f>
      </x:c>
    </x:row>
    <x:row r="205">
      <x:c r="A205" s="15"/>
      <x:c r="B205" s="11"/>
      <x:c r="C205" s="11"/>
      <x:c r="D205" s="11"/>
      <x:c r="E205" s="16"/>
      <x:c r="F205" s="11"/>
      <x:c r="G205" s="14" t="str">
        <x:f>IF(A205="","",IF(OR(A205&lt;DATE('13 Haftalık Plan'!$F$2,'13 Haftalık Plan'!$D$2,'13 Haftalık Plan'!$B$2),A205&gt;DATE('13 Haftalık Plan'!$F$2,'13 Haftalık Plan'!$D$2,'13 Haftalık Plan'!$B$2)+90),"Dışarıda",INT((A205-DATE('13 Haftalık Plan'!$F$2,'13 Haftalık Plan'!$D$2,'13 Haftalık Plan'!$B$2))/7)+1))</x:f>
      </x:c>
    </x:row>
  </x:sheetData>
  <x:mergeCells>
    <x:mergeCell ref="A1:G1"/>
    <x:mergeCell ref="A2:G2"/>
  </x:mergeCells>
  <x:dataValidations count="2">
    <x:dataValidation type="list" sqref="B6:B205">
      <x:formula1>"Beklenen tahsilat,Planlanan gelir,Beklenen ödeme,Planlanan gider"</x:formula1>
    </x:dataValidation>
    <x:dataValidation type="list" sqref="F6:F205">
      <x:formula1>"Kesin,Beklenen,Tahmini"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4" hidden="0" customWidth="1"/>
  </x:cols>
  <x:sheetData>
    <x:row r="1">
      <x:c r="A1" s="50" t="str">
        <x:v>Bu şablonu 10 dakikada kur</x:v>
      </x:c>
      <x:c r="B1" s="50"/>
      <x:c r="C1" s="50"/>
      <x:c r="D1" s="50"/>
      <x:c r="E1" s="50"/>
      <x:c r="F1" s="50"/>
    </x:row>
    <x:row r="2">
      <x:c r="A2" s="50"/>
      <x:c r="B2" s="50"/>
      <x:c r="C2" s="50"/>
      <x:c r="D2" s="50"/>
      <x:c r="E2" s="50"/>
      <x:c r="F2" s="50"/>
    </x:row>
    <x:row r="4" ht="28" customHeight="1">
      <x:c r="A4" s="6" t="str">
        <x:v>Adım</x:v>
      </x:c>
      <x:c r="B4" s="6" t="str">
        <x:v>Ne yapacaksınız?</x:v>
      </x:c>
      <x:c r="C4" s="6"/>
      <x:c r="D4" s="6"/>
      <x:c r="E4" s="6"/>
      <x:c r="F4" s="6" t="str">
        <x:v>Kontrol</x:v>
      </x:c>
    </x:row>
    <x:row r="5" ht="48" customHeight="1">
      <x:c r="A5" s="52" t="str">
        <x:v>1</x:v>
      </x:c>
      <x:c r="B5" s="52" t="str">
        <x:v>13 Haftalık Plan sayfasında başlangıç tarihini ve açılış kasa/banka bakiyesini değiştirin.</x:v>
      </x:c>
      <x:c r="C5" s="52"/>
      <x:c r="D5" s="52"/>
      <x:c r="E5" s="52"/>
      <x:c r="F5" s="52" t="str">
        <x:v>Sarı iki hücre</x:v>
      </x:c>
    </x:row>
    <x:row r="6" ht="48" customHeight="1">
      <x:c r="A6" s="52" t="str">
        <x:v>2</x:v>
      </x:c>
      <x:c r="B6" s="52" t="str">
        <x:v>Plan Kalemleri sayfasına beklenen her giriş ve çıkışı tek satır olarak yazın.</x:v>
      </x:c>
      <x:c r="C6" s="52"/>
      <x:c r="D6" s="52"/>
      <x:c r="E6" s="52"/>
      <x:c r="F6" s="52" t="str">
        <x:v>Tarih + tür + tutar</x:v>
      </x:c>
    </x:row>
    <x:row r="7" ht="48" customHeight="1">
      <x:c r="A7" s="52" t="str">
        <x:v>3</x:v>
      </x:c>
      <x:c r="B7" s="52" t="str">
        <x:v>Kesinlik alanını kullanın. Tahmini kalemleri haftalık görüşmede yeniden değerlendirin.</x:v>
      </x:c>
      <x:c r="C7" s="52"/>
      <x:c r="D7" s="52"/>
      <x:c r="E7" s="52"/>
      <x:c r="F7" s="52" t="str">
        <x:v>Kesin / Beklenen / Tahmini</x:v>
      </x:c>
    </x:row>
    <x:row r="8" ht="48" customHeight="1">
      <x:c r="A8" s="52" t="str">
        <x:v>4</x:v>
      </x:c>
      <x:c r="B8" s="52" t="str">
        <x:v>Özet sayfasındaki en düşük kapanış ve negatif hafta göstergelerini kontrol edin.</x:v>
      </x:c>
      <x:c r="C8" s="52"/>
      <x:c r="D8" s="52"/>
      <x:c r="E8" s="52"/>
      <x:c r="F8" s="52" t="str">
        <x:v>Risk haftalarını açın</x:v>
      </x:c>
    </x:row>
    <x:row r="9" ht="48" customHeight="1">
      <x:c r="A9" s="52" t="str">
        <x:v>5</x:v>
      </x:c>
      <x:c r="B9" s="52" t="str">
        <x:v>Her pazartesi gerçekleşenleri güncelleyin; eski tahminleri silmek yerine düzeltin.</x:v>
      </x:c>
      <x:c r="C9" s="52"/>
      <x:c r="D9" s="52"/>
      <x:c r="E9" s="52"/>
      <x:c r="F9" s="52" t="str">
        <x:v>Haftalık ritim</x:v>
      </x:c>
    </x:row>
    <x:row r="12">
      <x:c r="A12" s="39" t="str">
        <x:v>Modelin sınırları</x:v>
      </x:c>
      <x:c r="B12" s="39"/>
      <x:c r="C12" s="39"/>
      <x:c r="D12" s="39"/>
      <x:c r="E12" s="39"/>
      <x:c r="F12" s="39"/>
    </x:row>
    <x:row r="13">
      <x:c r="A13" s="55" t="str">
        <x:v>• Yalnızca yazdığınız veriyi hesaplar; banka hesabınıza bağlanmaz.
• Tutarları KDV dahil veya hariç yazabilirsiniz ama tüm dosyada aynı yaklaşımı kullanın.
• Vadesi belirsiz kalemleri ‘Tahmini’ işaretleyin.
• Son ödeme ve beyan tarihlerini mali müşavirinizle doğrulayın.</x:v>
      </x:c>
      <x:c r="B13" s="55"/>
      <x:c r="C13" s="55"/>
      <x:c r="D13" s="55"/>
      <x:c r="E13" s="55"/>
      <x:c r="F13" s="55"/>
    </x:row>
    <x:row r="14">
      <x:c r="A14" s="55"/>
      <x:c r="B14" s="55"/>
      <x:c r="C14" s="55"/>
      <x:c r="D14" s="55"/>
      <x:c r="E14" s="55"/>
      <x:c r="F14" s="55"/>
    </x:row>
    <x:row r="15">
      <x:c r="A15" s="55"/>
      <x:c r="B15" s="55"/>
      <x:c r="C15" s="55"/>
      <x:c r="D15" s="55"/>
      <x:c r="E15" s="55"/>
      <x:c r="F15" s="55"/>
    </x:row>
    <x:row r="16">
      <x:c r="A16" s="55"/>
      <x:c r="B16" s="55"/>
      <x:c r="C16" s="55"/>
      <x:c r="D16" s="55"/>
      <x:c r="E16" s="55"/>
      <x:c r="F16" s="55"/>
    </x:row>
    <x:row r="18">
      <x:c r="A18" s="57" t="str">
        <x:v>Systemcel · systemcel.app · Sürüm: Eylül 2026</x:v>
      </x:c>
      <x:c r="B18" s="57"/>
      <x:c r="C18" s="57"/>
      <x:c r="D18" s="57"/>
      <x:c r="E18" s="57"/>
      <x:c r="F18" s="57"/>
    </x:row>
  </x:sheetData>
  <x:mergeCells>
    <x:mergeCell ref="A1:F2"/>
    <x:mergeCell ref="A12:F12"/>
    <x:mergeCell ref="A13:F13"/>
    <x:mergeCell ref="A14:F14"/>
    <x:mergeCell ref="A15:F15"/>
    <x:mergeCell ref="A16:F16"/>
    <x:mergeCell ref="A18:F18"/>
  </x:mergeCells>
  <x:pageMargins left="0.7" right="0.7" top="0.75" bottom="0.75" header="0.3" footer="0.3"/>
</x:worksheet>
</file>